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 Profiles" sheetId="1" state="visible" r:id="rId3"/>
    <sheet name="Palette" sheetId="2" state="visible" r:id="rId4"/>
    <sheet name="Legend &amp; Ru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<sst xmlns="http://schemas.openxmlformats.org/spreadsheetml/2006/main" count="158" uniqueCount="127">
  <si>
    <t xml:space="preserve">Team</t>
  </si>
  <si>
    <t xml:space="preserve">ISO</t>
  </si>
  <si>
    <t xml:space="preserve">Primary colour (pick from list)</t>
  </si>
  <si>
    <t xml:space="preserve">Shade</t>
  </si>
  <si>
    <t xml:space="preserve">Secondary colour (pick from list)</t>
  </si>
  <si>
    <t xml:space="preserve">Colour source (URL or 'club shop photo' etc.)</t>
  </si>
  <si>
    <t xml:space="preserve">Primary hex (auto — or type an exact one to override)</t>
  </si>
  <si>
    <t xml:space="preserve">Readable with white text? (auto)</t>
  </si>
  <si>
    <t xml:space="preserve">Readable in dark mode? (auto)</t>
  </si>
  <si>
    <t xml:space="preserve">FIFA ranking</t>
  </si>
  <si>
    <t xml:space="preserve">Ranking source + date</t>
  </si>
  <si>
    <t xml:space="preserve">Editorial note (one sentence, your voice)</t>
  </si>
  <si>
    <t xml:space="preserve">Status</t>
  </si>
  <si>
    <t xml:space="preserve">Wales</t>
  </si>
  <si>
    <t xml:space="preserve">WAL</t>
  </si>
  <si>
    <t xml:space="preserve">unverified</t>
  </si>
  <si>
    <t xml:space="preserve">England</t>
  </si>
  <si>
    <t xml:space="preserve">ENG</t>
  </si>
  <si>
    <t xml:space="preserve">Scotland</t>
  </si>
  <si>
    <t xml:space="preserve">SCO</t>
  </si>
  <si>
    <t xml:space="preserve">Navy</t>
  </si>
  <si>
    <t xml:space="preserve">Standard</t>
  </si>
  <si>
    <t xml:space="preserve">White</t>
  </si>
  <si>
    <t xml:space="preserve">Applied in DB 2026-07 — reference example</t>
  </si>
  <si>
    <t xml:space="preserve">Navy and white; Hampden roar optional.</t>
  </si>
  <si>
    <t xml:space="preserve">applied</t>
  </si>
  <si>
    <t xml:space="preserve">Northern Ireland</t>
  </si>
  <si>
    <t xml:space="preserve">NIR</t>
  </si>
  <si>
    <t xml:space="preserve">Republic of Ireland</t>
  </si>
  <si>
    <t xml:space="preserve">IRL</t>
  </si>
  <si>
    <t xml:space="preserve">Albania</t>
  </si>
  <si>
    <t xml:space="preserve">ALB</t>
  </si>
  <si>
    <t xml:space="preserve">Austria</t>
  </si>
  <si>
    <t xml:space="preserve">AUT</t>
  </si>
  <si>
    <t xml:space="preserve">Belgium</t>
  </si>
  <si>
    <t xml:space="preserve">BEL</t>
  </si>
  <si>
    <t xml:space="preserve">Croatia</t>
  </si>
  <si>
    <t xml:space="preserve">CRO</t>
  </si>
  <si>
    <t xml:space="preserve">Czechia</t>
  </si>
  <si>
    <t xml:space="preserve">CZE</t>
  </si>
  <si>
    <t xml:space="preserve">Denmark</t>
  </si>
  <si>
    <t xml:space="preserve">DEN</t>
  </si>
  <si>
    <t xml:space="preserve">France</t>
  </si>
  <si>
    <t xml:space="preserve">FRA</t>
  </si>
  <si>
    <t xml:space="preserve">Georgia</t>
  </si>
  <si>
    <t xml:space="preserve">GEO</t>
  </si>
  <si>
    <t xml:space="preserve">Germany</t>
  </si>
  <si>
    <t xml:space="preserve">GER</t>
  </si>
  <si>
    <t xml:space="preserve">Greece</t>
  </si>
  <si>
    <t xml:space="preserve">GRE</t>
  </si>
  <si>
    <t xml:space="preserve">Hungary</t>
  </si>
  <si>
    <t xml:space="preserve">HUN</t>
  </si>
  <si>
    <t xml:space="preserve">Italy</t>
  </si>
  <si>
    <t xml:space="preserve">ITA</t>
  </si>
  <si>
    <t xml:space="preserve">Netherlands</t>
  </si>
  <si>
    <t xml:space="preserve">NED</t>
  </si>
  <si>
    <t xml:space="preserve">Norway</t>
  </si>
  <si>
    <t xml:space="preserve">NOR</t>
  </si>
  <si>
    <t xml:space="preserve">Poland</t>
  </si>
  <si>
    <t xml:space="preserve">POL</t>
  </si>
  <si>
    <t xml:space="preserve">Portugal</t>
  </si>
  <si>
    <t xml:space="preserve">POR</t>
  </si>
  <si>
    <t xml:space="preserve">Romania</t>
  </si>
  <si>
    <t xml:space="preserve">ROU</t>
  </si>
  <si>
    <t xml:space="preserve">Serbia</t>
  </si>
  <si>
    <t xml:space="preserve">SRB</t>
  </si>
  <si>
    <t xml:space="preserve">Slovakia</t>
  </si>
  <si>
    <t xml:space="preserve">SVK</t>
  </si>
  <si>
    <t xml:space="preserve">Slovenia</t>
  </si>
  <si>
    <t xml:space="preserve">SVN</t>
  </si>
  <si>
    <t xml:space="preserve">Spain</t>
  </si>
  <si>
    <t xml:space="preserve">ESP</t>
  </si>
  <si>
    <t xml:space="preserve">Sweden</t>
  </si>
  <si>
    <t xml:space="preserve">SWE</t>
  </si>
  <si>
    <t xml:space="preserve">Switzerland</t>
  </si>
  <si>
    <t xml:space="preserve">SUI</t>
  </si>
  <si>
    <t xml:space="preserve">Türkiye</t>
  </si>
  <si>
    <t xml:space="preserve">TUR</t>
  </si>
  <si>
    <t xml:space="preserve">Ukraine</t>
  </si>
  <si>
    <t xml:space="preserve">UKR</t>
  </si>
  <si>
    <t xml:space="preserve">Colour name</t>
  </si>
  <si>
    <t xml:space="preserve">Hex</t>
  </si>
  <si>
    <t xml:space="preserve">#1B3A6B</t>
  </si>
  <si>
    <t xml:space="preserve">Royal blue</t>
  </si>
  <si>
    <t xml:space="preserve">#1D4ED8</t>
  </si>
  <si>
    <t xml:space="preserve">Sky blue</t>
  </si>
  <si>
    <t xml:space="preserve">#7DBBE6</t>
  </si>
  <si>
    <t xml:space="preserve">Light blue</t>
  </si>
  <si>
    <t xml:space="preserve">#5FA8D3</t>
  </si>
  <si>
    <t xml:space="preserve">Red</t>
  </si>
  <si>
    <t xml:space="preserve">#C8102E</t>
  </si>
  <si>
    <t xml:space="preserve">Dark red</t>
  </si>
  <si>
    <t xml:space="preserve">#8B0000</t>
  </si>
  <si>
    <t xml:space="preserve">Maroon</t>
  </si>
  <si>
    <t xml:space="preserve">#7A263A</t>
  </si>
  <si>
    <t xml:space="preserve">Orange</t>
  </si>
  <si>
    <t xml:space="preserve">#F36C21</t>
  </si>
  <si>
    <t xml:space="preserve">Tangerine</t>
  </si>
  <si>
    <t xml:space="preserve">#FF7F27</t>
  </si>
  <si>
    <t xml:space="preserve">Yellow</t>
  </si>
  <si>
    <t xml:space="preserve">#FFD700</t>
  </si>
  <si>
    <t xml:space="preserve">Gold</t>
  </si>
  <si>
    <t xml:space="preserve">#D4A017</t>
  </si>
  <si>
    <t xml:space="preserve">Green</t>
  </si>
  <si>
    <t xml:space="preserve">#009A44</t>
  </si>
  <si>
    <t xml:space="preserve">Dark green</t>
  </si>
  <si>
    <t xml:space="preserve">#006341</t>
  </si>
  <si>
    <t xml:space="preserve">#FFFFFF</t>
  </si>
  <si>
    <t xml:space="preserve">Black</t>
  </si>
  <si>
    <t xml:space="preserve">#111111</t>
  </si>
  <si>
    <t xml:space="preserve">Grey</t>
  </si>
  <si>
    <t xml:space="preserve">#8A8D8F</t>
  </si>
  <si>
    <t xml:space="preserve">Claret</t>
  </si>
  <si>
    <t xml:space="preserve">Crimson</t>
  </si>
  <si>
    <t xml:space="preserve">#DC143C</t>
  </si>
  <si>
    <t xml:space="preserve">EURO 2028 TEAM PROFILE TEMPLATE — post-draw bulk fill-in (no hex knowledge needed)</t>
  </si>
  <si>
    <t xml:space="preserve">HOW TO FILL IN — yellow cells only:</t>
  </si>
  <si>
    <t xml:space="preserve">• Primary/Secondary colour: pick a plain colour name from the dropdown (the Palette tab holds the football-kit palette behind it).</t>
  </si>
  <si>
    <t xml:space="preserve">• Shade: Standard / Darker / Lighter nudges the colour if the standard one looks off.</t>
  </si>
  <si>
    <t xml:space="preserve">• The hex column fills itself. Only touch it if a team truly needs an exact value — typing a # value there overrides the dropdown.</t>
  </si>
  <si>
    <t xml:space="preserve">• The two 'readable' columns answer in plain English. 'CHECK' means the build session must adjust the text treatment for that team — allowed by the Scotland pattern, not a problem, just flag it.</t>
  </si>
  <si>
    <t xml:space="preserve">• Colour source: where you looked — an FA site, Wikipedia's kit box, even 'club shop photo'. This is what makes the data checkable, not AI-trusted.</t>
  </si>
  <si>
    <t xml:space="preserve">• FIFA ranking from FIFA's published list, with the date you checked. Editorial note: one sentence, your voice.</t>
  </si>
  <si>
    <t xml:space="preserve">• Status: unverified → checked by Nicky → applied. THE BATCH RUN REFUSES ROWS NOT MARKED 'checked by Nicky'.</t>
  </si>
  <si>
    <t xml:space="preserve">Hosts are grey-tinted at the top. Prune the qualifier list to the real 24 after the draw. Scotland (row 4) is the worked example — already live in the database.</t>
  </si>
  <si>
    <t xml:space="preserve">TRANSFER PATH: fill sheet → export CSV → the batch session translates plain names to final values, verifies against your cited sources, computes true WCAG contrast, and regenerates assign-team-profiles.mjs's data tables → one idempotent run. The script self-heals and never overwrites admin-entered data.</t>
  </si>
  <si>
    <t xml:space="preserve">Colours are this app's brand treatment of a team — recognisable-to-a-fan beats officially-perfect. No badges, no kit designs (trademark).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</si>
</sst>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EEEEE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44"/>
    <col collapsed="false" customWidth="true" hidden="false" outlineLevel="0" max="7" min="7" style="0" width="34"/>
    <col collapsed="false" customWidth="true" hidden="false" outlineLevel="0" max="9" min="8" style="0" width="24"/>
    <col collapsed="false" customWidth="true" hidden="false" outlineLevel="0" max="10" min="10" style="0" width="12"/>
    <col collapsed="false" customWidth="true" hidden="false" outlineLevel="0" max="11" min="11" style="0" width="24"/>
    <col collapsed="false" customWidth="true" hidden="false" outlineLevel="0" max="12" min="12" style="0" width="50"/>
    <col collapsed="false" customWidth="true" hidden="false" outlineLevel="0" max="13" min="13" style="0" width="18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3"/>
      <c r="D2" s="3"/>
      <c r="E2" s="3"/>
      <c r="F2" s="3"/>
      <c r="G2" s="4" t="str">
        <f aca="false">IF(C2="","",IF(D2="Darker","#"&amp;DEC2HEX(ROUND(HEX2DEC(MID(INDEX(Palette!$B$2:$B$19,MATCH(C2,Palette!$A$2:$A$19,0)),2,2))*0.75,0),2)&amp;DEC2HEX(ROUND(HEX2DEC(MID(INDEX(Palette!$B$2:$B$19,MATCH(C2,Palette!$A$2:$A$19,0)),4,2))*0.75,0),2)&amp;DEC2HEX(ROUND(HEX2DEC(MID(INDEX(Palette!$B$2:$B$19,MATCH(C2,Palette!$A$2:$A$19,0)),6,2))*0.75,0),2),IF(D2="Lighter","#"&amp;DEC2HEX(ROUND(HEX2DEC(MID(INDEX(Palette!$B$2:$B$19,MATCH(C2,Palette!$A$2:$A$19,0)),2,2))+(255-HEX2DEC(MID(INDEX(Palette!$B$2:$B$19,MATCH(C2,Palette!$A$2:$A$19,0)),2,2)))*0.25,0),2)&amp;DEC2HEX(ROUND(HEX2DEC(MID(INDEX(Palette!$B$2:$B$19,MATCH(C2,Palette!$A$2:$A$19,0)),4,2))+(255-HEX2DEC(MID(INDEX(Palette!$B$2:$B$19,MATCH(C2,Palette!$A$2:$A$19,0)),4,2)))*0.25,0),2)&amp;DEC2HEX(ROUND(HEX2DEC(MID(INDEX(Palette!$B$2:$B$19,MATCH(C2,Palette!$A$2:$A$19,0)),6,2))+(255-HEX2DEC(MID(INDEX(Palette!$B$2:$B$19,MATCH(C2,Palette!$A$2:$A$19,0)),6,2)))*0.25,0),2),INDEX(Palette!$B$2:$B$19,MATCH(C2,Palette!$A$2:$A$19,0)))))</f>
        <v/>
      </c>
      <c r="H2" s="4" t="str">
        <f aca="false">IF(G2="","",IF((1.05)/((0.2126*HEX2DEC(MID(G2,2,2))+0.7152*HEX2DEC(MID(G2,4,2))+0.0722*HEX2DEC(MID(G2,6,2)))/255+0.05)&gt;=4.5,"Yes","CHECK — may need dark text"))</f>
        <v/>
      </c>
      <c r="I2" s="4" t="str">
        <f aca="false">IF(G2="","",IF(((0.2126*HEX2DEC(MID(G2,2,2))+0.7152*HEX2DEC(MID(G2,4,2))+0.0722*HEX2DEC(MID(G2,6,2)))/255+0.05)/((0.2126*11+0.7152*27+0.0722*52)/255+0.05)&gt;=3,"Yes","CHECK — may need a brighter shade"))</f>
        <v/>
      </c>
      <c r="J2" s="3"/>
      <c r="K2" s="3"/>
      <c r="L2" s="3"/>
      <c r="M2" s="3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3"/>
      <c r="D3" s="3"/>
      <c r="E3" s="3"/>
      <c r="F3" s="3"/>
      <c r="G3" s="4" t="str">
        <f aca="false">IF(C3="","",IF(D3="Darker","#"&amp;DEC2HEX(ROUND(HEX2DEC(MID(INDEX(Palette!$B$2:$B$19,MATCH(C3,Palette!$A$2:$A$19,0)),2,2))*0.75,0),2)&amp;DEC2HEX(ROUND(HEX2DEC(MID(INDEX(Palette!$B$2:$B$19,MATCH(C3,Palette!$A$2:$A$19,0)),4,2))*0.75,0),2)&amp;DEC2HEX(ROUND(HEX2DEC(MID(INDEX(Palette!$B$2:$B$19,MATCH(C3,Palette!$A$2:$A$19,0)),6,2))*0.75,0),2),IF(D3="Lighter","#"&amp;DEC2HEX(ROUND(HEX2DEC(MID(INDEX(Palette!$B$2:$B$19,MATCH(C3,Palette!$A$2:$A$19,0)),2,2))+(255-HEX2DEC(MID(INDEX(Palette!$B$2:$B$19,MATCH(C3,Palette!$A$2:$A$19,0)),2,2)))*0.25,0),2)&amp;DEC2HEX(ROUND(HEX2DEC(MID(INDEX(Palette!$B$2:$B$19,MATCH(C3,Palette!$A$2:$A$19,0)),4,2))+(255-HEX2DEC(MID(INDEX(Palette!$B$2:$B$19,MATCH(C3,Palette!$A$2:$A$19,0)),4,2)))*0.25,0),2)&amp;DEC2HEX(ROUND(HEX2DEC(MID(INDEX(Palette!$B$2:$B$19,MATCH(C3,Palette!$A$2:$A$19,0)),6,2))+(255-HEX2DEC(MID(INDEX(Palette!$B$2:$B$19,MATCH(C3,Palette!$A$2:$A$19,0)),6,2)))*0.25,0),2),INDEX(Palette!$B$2:$B$19,MATCH(C3,Palette!$A$2:$A$19,0)))))</f>
        <v/>
      </c>
      <c r="H3" s="4" t="str">
        <f aca="false">IF(G3="","",IF((1.05)/((0.2126*HEX2DEC(MID(G3,2,2))+0.7152*HEX2DEC(MID(G3,4,2))+0.0722*HEX2DEC(MID(G3,6,2)))/255+0.05)&gt;=4.5,"Yes","CHECK — may need dark text"))</f>
        <v/>
      </c>
      <c r="I3" s="4" t="str">
        <f aca="false">IF(G3="","",IF(((0.2126*HEX2DEC(MID(G3,2,2))+0.7152*HEX2DEC(MID(G3,4,2))+0.0722*HEX2DEC(MID(G3,6,2)))/255+0.05)/((0.2126*11+0.7152*27+0.0722*52)/255+0.05)&gt;=3,"Yes","CHECK — may need a brighter shade"))</f>
        <v/>
      </c>
      <c r="J3" s="3"/>
      <c r="K3" s="3"/>
      <c r="L3" s="3"/>
      <c r="M3" s="3" t="s">
        <v>15</v>
      </c>
    </row>
    <row r="4" customFormat="false" ht="15" hidden="false" customHeight="false" outlineLevel="0" collapsed="false">
      <c r="A4" s="2" t="s">
        <v>18</v>
      </c>
      <c r="B4" s="2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4" t="str">
        <f aca="false">IF(C4="","",IF(D4="Darker","#"&amp;DEC2HEX(ROUND(HEX2DEC(MID(INDEX(Palette!$B$2:$B$19,MATCH(C4,Palette!$A$2:$A$19,0)),2,2))*0.75,0),2)&amp;DEC2HEX(ROUND(HEX2DEC(MID(INDEX(Palette!$B$2:$B$19,MATCH(C4,Palette!$A$2:$A$19,0)),4,2))*0.75,0),2)&amp;DEC2HEX(ROUND(HEX2DEC(MID(INDEX(Palette!$B$2:$B$19,MATCH(C4,Palette!$A$2:$A$19,0)),6,2))*0.75,0),2),IF(D4="Lighter","#"&amp;DEC2HEX(ROUND(HEX2DEC(MID(INDEX(Palette!$B$2:$B$19,MATCH(C4,Palette!$A$2:$A$19,0)),2,2))+(255-HEX2DEC(MID(INDEX(Palette!$B$2:$B$19,MATCH(C4,Palette!$A$2:$A$19,0)),2,2)))*0.25,0),2)&amp;DEC2HEX(ROUND(HEX2DEC(MID(INDEX(Palette!$B$2:$B$19,MATCH(C4,Palette!$A$2:$A$19,0)),4,2))+(255-HEX2DEC(MID(INDEX(Palette!$B$2:$B$19,MATCH(C4,Palette!$A$2:$A$19,0)),4,2)))*0.25,0),2)&amp;DEC2HEX(ROUND(HEX2DEC(MID(INDEX(Palette!$B$2:$B$19,MATCH(C4,Palette!$A$2:$A$19,0)),6,2))+(255-HEX2DEC(MID(INDEX(Palette!$B$2:$B$19,MATCH(C4,Palette!$A$2:$A$19,0)),6,2)))*0.25,0),2),INDEX(Palette!$B$2:$B$19,MATCH(C4,Palette!$A$2:$A$19,0)))))</f>
        <v>#1B3A6B</v>
      </c>
      <c r="H4" s="4" t="str">
        <f aca="false">IF(G4="","",IF((1.05)/((0.2126*HEX2DEC(MID(G4,2,2))+0.7152*HEX2DEC(MID(G4,4,2))+0.0722*HEX2DEC(MID(G4,6,2)))/255+0.05)&gt;=4.5,"Yes","CHECK — may need dark text"))</f>
        <v>CHECK — may need dark text</v>
      </c>
      <c r="I4" s="4" t="str">
        <f aca="false">IF(G4="","",IF(((0.2126*HEX2DEC(MID(G4,2,2))+0.7152*HEX2DEC(MID(G4,4,2))+0.0722*HEX2DEC(MID(G4,6,2)))/255+0.05)/((0.2126*11+0.7152*27+0.0722*52)/255+0.05)&gt;=3,"Yes","CHECK — may need a brighter shade"))</f>
        <v>CHECK — may need a brighter shade</v>
      </c>
      <c r="J4" s="3"/>
      <c r="K4" s="3"/>
      <c r="L4" s="3" t="s">
        <v>24</v>
      </c>
      <c r="M4" s="3" t="s">
        <v>25</v>
      </c>
    </row>
    <row r="5" customFormat="false" ht="15" hidden="false" customHeight="false" outlineLevel="0" collapsed="false">
      <c r="A5" s="2" t="s">
        <v>26</v>
      </c>
      <c r="B5" s="2" t="s">
        <v>27</v>
      </c>
      <c r="C5" s="3"/>
      <c r="D5" s="3"/>
      <c r="E5" s="3"/>
      <c r="F5" s="3"/>
      <c r="G5" s="4" t="str">
        <f aca="false">IF(C5="","",IF(D5="Darker","#"&amp;DEC2HEX(ROUND(HEX2DEC(MID(INDEX(Palette!$B$2:$B$19,MATCH(C5,Palette!$A$2:$A$19,0)),2,2))*0.75,0),2)&amp;DEC2HEX(ROUND(HEX2DEC(MID(INDEX(Palette!$B$2:$B$19,MATCH(C5,Palette!$A$2:$A$19,0)),4,2))*0.75,0),2)&amp;DEC2HEX(ROUND(HEX2DEC(MID(INDEX(Palette!$B$2:$B$19,MATCH(C5,Palette!$A$2:$A$19,0)),6,2))*0.75,0),2),IF(D5="Lighter","#"&amp;DEC2HEX(ROUND(HEX2DEC(MID(INDEX(Palette!$B$2:$B$19,MATCH(C5,Palette!$A$2:$A$19,0)),2,2))+(255-HEX2DEC(MID(INDEX(Palette!$B$2:$B$19,MATCH(C5,Palette!$A$2:$A$19,0)),2,2)))*0.25,0),2)&amp;DEC2HEX(ROUND(HEX2DEC(MID(INDEX(Palette!$B$2:$B$19,MATCH(C5,Palette!$A$2:$A$19,0)),4,2))+(255-HEX2DEC(MID(INDEX(Palette!$B$2:$B$19,MATCH(C5,Palette!$A$2:$A$19,0)),4,2)))*0.25,0),2)&amp;DEC2HEX(ROUND(HEX2DEC(MID(INDEX(Palette!$B$2:$B$19,MATCH(C5,Palette!$A$2:$A$19,0)),6,2))+(255-HEX2DEC(MID(INDEX(Palette!$B$2:$B$19,MATCH(C5,Palette!$A$2:$A$19,0)),6,2)))*0.25,0),2),INDEX(Palette!$B$2:$B$19,MATCH(C5,Palette!$A$2:$A$19,0)))))</f>
        <v/>
      </c>
      <c r="H5" s="4" t="str">
        <f aca="false">IF(G5="","",IF((1.05)/((0.2126*HEX2DEC(MID(G5,2,2))+0.7152*HEX2DEC(MID(G5,4,2))+0.0722*HEX2DEC(MID(G5,6,2)))/255+0.05)&gt;=4.5,"Yes","CHECK — may need dark text"))</f>
        <v/>
      </c>
      <c r="I5" s="4" t="str">
        <f aca="false">IF(G5="","",IF(((0.2126*HEX2DEC(MID(G5,2,2))+0.7152*HEX2DEC(MID(G5,4,2))+0.0722*HEX2DEC(MID(G5,6,2)))/255+0.05)/((0.2126*11+0.7152*27+0.0722*52)/255+0.05)&gt;=3,"Yes","CHECK — may need a brighter shade"))</f>
        <v/>
      </c>
      <c r="J5" s="3"/>
      <c r="K5" s="3"/>
      <c r="L5" s="3"/>
      <c r="M5" s="3" t="s">
        <v>15</v>
      </c>
    </row>
    <row r="6" customFormat="false" ht="15" hidden="false" customHeight="false" outlineLevel="0" collapsed="false">
      <c r="A6" s="2" t="s">
        <v>28</v>
      </c>
      <c r="B6" s="2" t="s">
        <v>29</v>
      </c>
      <c r="C6" s="3"/>
      <c r="D6" s="3"/>
      <c r="E6" s="3"/>
      <c r="F6" s="3"/>
      <c r="G6" s="4" t="str">
        <f aca="false">IF(C6="","",IF(D6="Darker","#"&amp;DEC2HEX(ROUND(HEX2DEC(MID(INDEX(Palette!$B$2:$B$19,MATCH(C6,Palette!$A$2:$A$19,0)),2,2))*0.75,0),2)&amp;DEC2HEX(ROUND(HEX2DEC(MID(INDEX(Palette!$B$2:$B$19,MATCH(C6,Palette!$A$2:$A$19,0)),4,2))*0.75,0),2)&amp;DEC2HEX(ROUND(HEX2DEC(MID(INDEX(Palette!$B$2:$B$19,MATCH(C6,Palette!$A$2:$A$19,0)),6,2))*0.75,0),2),IF(D6="Lighter","#"&amp;DEC2HEX(ROUND(HEX2DEC(MID(INDEX(Palette!$B$2:$B$19,MATCH(C6,Palette!$A$2:$A$19,0)),2,2))+(255-HEX2DEC(MID(INDEX(Palette!$B$2:$B$19,MATCH(C6,Palette!$A$2:$A$19,0)),2,2)))*0.25,0),2)&amp;DEC2HEX(ROUND(HEX2DEC(MID(INDEX(Palette!$B$2:$B$19,MATCH(C6,Palette!$A$2:$A$19,0)),4,2))+(255-HEX2DEC(MID(INDEX(Palette!$B$2:$B$19,MATCH(C6,Palette!$A$2:$A$19,0)),4,2)))*0.25,0),2)&amp;DEC2HEX(ROUND(HEX2DEC(MID(INDEX(Palette!$B$2:$B$19,MATCH(C6,Palette!$A$2:$A$19,0)),6,2))+(255-HEX2DEC(MID(INDEX(Palette!$B$2:$B$19,MATCH(C6,Palette!$A$2:$A$19,0)),6,2)))*0.25,0),2),INDEX(Palette!$B$2:$B$19,MATCH(C6,Palette!$A$2:$A$19,0)))))</f>
        <v/>
      </c>
      <c r="H6" s="4" t="str">
        <f aca="false">IF(G6="","",IF((1.05)/((0.2126*HEX2DEC(MID(G6,2,2))+0.7152*HEX2DEC(MID(G6,4,2))+0.0722*HEX2DEC(MID(G6,6,2)))/255+0.05)&gt;=4.5,"Yes","CHECK — may need dark text"))</f>
        <v/>
      </c>
      <c r="I6" s="4" t="str">
        <f aca="false">IF(G6="","",IF(((0.2126*HEX2DEC(MID(G6,2,2))+0.7152*HEX2DEC(MID(G6,4,2))+0.0722*HEX2DEC(MID(G6,6,2)))/255+0.05)/((0.2126*11+0.7152*27+0.0722*52)/255+0.05)&gt;=3,"Yes","CHECK — may need a brighter shade"))</f>
        <v/>
      </c>
      <c r="J6" s="3"/>
      <c r="K6" s="3"/>
      <c r="L6" s="3"/>
      <c r="M6" s="3" t="s">
        <v>15</v>
      </c>
    </row>
    <row r="7" customFormat="false" ht="15" hidden="false" customHeight="false" outlineLevel="0" collapsed="false">
      <c r="A7" s="4" t="s">
        <v>30</v>
      </c>
      <c r="B7" s="4" t="s">
        <v>31</v>
      </c>
      <c r="C7" s="3"/>
      <c r="D7" s="3"/>
      <c r="E7" s="3"/>
      <c r="F7" s="3"/>
      <c r="G7" s="4" t="str">
        <f aca="false">IF(C7="","",IF(D7="Darker","#"&amp;DEC2HEX(ROUND(HEX2DEC(MID(INDEX(Palette!$B$2:$B$19,MATCH(C7,Palette!$A$2:$A$19,0)),2,2))*0.75,0),2)&amp;DEC2HEX(ROUND(HEX2DEC(MID(INDEX(Palette!$B$2:$B$19,MATCH(C7,Palette!$A$2:$A$19,0)),4,2))*0.75,0),2)&amp;DEC2HEX(ROUND(HEX2DEC(MID(INDEX(Palette!$B$2:$B$19,MATCH(C7,Palette!$A$2:$A$19,0)),6,2))*0.75,0),2),IF(D7="Lighter","#"&amp;DEC2HEX(ROUND(HEX2DEC(MID(INDEX(Palette!$B$2:$B$19,MATCH(C7,Palette!$A$2:$A$19,0)),2,2))+(255-HEX2DEC(MID(INDEX(Palette!$B$2:$B$19,MATCH(C7,Palette!$A$2:$A$19,0)),2,2)))*0.25,0),2)&amp;DEC2HEX(ROUND(HEX2DEC(MID(INDEX(Palette!$B$2:$B$19,MATCH(C7,Palette!$A$2:$A$19,0)),4,2))+(255-HEX2DEC(MID(INDEX(Palette!$B$2:$B$19,MATCH(C7,Palette!$A$2:$A$19,0)),4,2)))*0.25,0),2)&amp;DEC2HEX(ROUND(HEX2DEC(MID(INDEX(Palette!$B$2:$B$19,MATCH(C7,Palette!$A$2:$A$19,0)),6,2))+(255-HEX2DEC(MID(INDEX(Palette!$B$2:$B$19,MATCH(C7,Palette!$A$2:$A$19,0)),6,2)))*0.25,0),2),INDEX(Palette!$B$2:$B$19,MATCH(C7,Palette!$A$2:$A$19,0)))))</f>
        <v/>
      </c>
      <c r="H7" s="4" t="str">
        <f aca="false">IF(G7="","",IF((1.05)/((0.2126*HEX2DEC(MID(G7,2,2))+0.7152*HEX2DEC(MID(G7,4,2))+0.0722*HEX2DEC(MID(G7,6,2)))/255+0.05)&gt;=4.5,"Yes","CHECK — may need dark text"))</f>
        <v/>
      </c>
      <c r="I7" s="4" t="str">
        <f aca="false">IF(G7="","",IF(((0.2126*HEX2DEC(MID(G7,2,2))+0.7152*HEX2DEC(MID(G7,4,2))+0.0722*HEX2DEC(MID(G7,6,2)))/255+0.05)/((0.2126*11+0.7152*27+0.0722*52)/255+0.05)&gt;=3,"Yes","CHECK — may need a brighter shade"))</f>
        <v/>
      </c>
      <c r="J7" s="3"/>
      <c r="K7" s="3"/>
      <c r="L7" s="3"/>
      <c r="M7" s="3" t="s">
        <v>15</v>
      </c>
    </row>
    <row r="8" customFormat="false" ht="15" hidden="false" customHeight="false" outlineLevel="0" collapsed="false">
      <c r="A8" s="4" t="s">
        <v>32</v>
      </c>
      <c r="B8" s="4" t="s">
        <v>33</v>
      </c>
      <c r="C8" s="3"/>
      <c r="D8" s="3"/>
      <c r="E8" s="3"/>
      <c r="F8" s="3"/>
      <c r="G8" s="4" t="str">
        <f aca="false">IF(C8="","",IF(D8="Darker","#"&amp;DEC2HEX(ROUND(HEX2DEC(MID(INDEX(Palette!$B$2:$B$19,MATCH(C8,Palette!$A$2:$A$19,0)),2,2))*0.75,0),2)&amp;DEC2HEX(ROUND(HEX2DEC(MID(INDEX(Palette!$B$2:$B$19,MATCH(C8,Palette!$A$2:$A$19,0)),4,2))*0.75,0),2)&amp;DEC2HEX(ROUND(HEX2DEC(MID(INDEX(Palette!$B$2:$B$19,MATCH(C8,Palette!$A$2:$A$19,0)),6,2))*0.75,0),2),IF(D8="Lighter","#"&amp;DEC2HEX(ROUND(HEX2DEC(MID(INDEX(Palette!$B$2:$B$19,MATCH(C8,Palette!$A$2:$A$19,0)),2,2))+(255-HEX2DEC(MID(INDEX(Palette!$B$2:$B$19,MATCH(C8,Palette!$A$2:$A$19,0)),2,2)))*0.25,0),2)&amp;DEC2HEX(ROUND(HEX2DEC(MID(INDEX(Palette!$B$2:$B$19,MATCH(C8,Palette!$A$2:$A$19,0)),4,2))+(255-HEX2DEC(MID(INDEX(Palette!$B$2:$B$19,MATCH(C8,Palette!$A$2:$A$19,0)),4,2)))*0.25,0),2)&amp;DEC2HEX(ROUND(HEX2DEC(MID(INDEX(Palette!$B$2:$B$19,MATCH(C8,Palette!$A$2:$A$19,0)),6,2))+(255-HEX2DEC(MID(INDEX(Palette!$B$2:$B$19,MATCH(C8,Palette!$A$2:$A$19,0)),6,2)))*0.25,0),2),INDEX(Palette!$B$2:$B$19,MATCH(C8,Palette!$A$2:$A$19,0)))))</f>
        <v/>
      </c>
      <c r="H8" s="4" t="str">
        <f aca="false">IF(G8="","",IF((1.05)/((0.2126*HEX2DEC(MID(G8,2,2))+0.7152*HEX2DEC(MID(G8,4,2))+0.0722*HEX2DEC(MID(G8,6,2)))/255+0.05)&gt;=4.5,"Yes","CHECK — may need dark text"))</f>
        <v/>
      </c>
      <c r="I8" s="4" t="str">
        <f aca="false">IF(G8="","",IF(((0.2126*HEX2DEC(MID(G8,2,2))+0.7152*HEX2DEC(MID(G8,4,2))+0.0722*HEX2DEC(MID(G8,6,2)))/255+0.05)/((0.2126*11+0.7152*27+0.0722*52)/255+0.05)&gt;=3,"Yes","CHECK — may need a brighter shade"))</f>
        <v/>
      </c>
      <c r="J8" s="3"/>
      <c r="K8" s="3"/>
      <c r="L8" s="3"/>
      <c r="M8" s="3" t="s">
        <v>15</v>
      </c>
    </row>
    <row r="9" customFormat="false" ht="15" hidden="false" customHeight="false" outlineLevel="0" collapsed="false">
      <c r="A9" s="4" t="s">
        <v>34</v>
      </c>
      <c r="B9" s="4" t="s">
        <v>35</v>
      </c>
      <c r="C9" s="3"/>
      <c r="D9" s="3"/>
      <c r="E9" s="3"/>
      <c r="F9" s="3"/>
      <c r="G9" s="4" t="str">
        <f aca="false">IF(C9="","",IF(D9="Darker","#"&amp;DEC2HEX(ROUND(HEX2DEC(MID(INDEX(Palette!$B$2:$B$19,MATCH(C9,Palette!$A$2:$A$19,0)),2,2))*0.75,0),2)&amp;DEC2HEX(ROUND(HEX2DEC(MID(INDEX(Palette!$B$2:$B$19,MATCH(C9,Palette!$A$2:$A$19,0)),4,2))*0.75,0),2)&amp;DEC2HEX(ROUND(HEX2DEC(MID(INDEX(Palette!$B$2:$B$19,MATCH(C9,Palette!$A$2:$A$19,0)),6,2))*0.75,0),2),IF(D9="Lighter","#"&amp;DEC2HEX(ROUND(HEX2DEC(MID(INDEX(Palette!$B$2:$B$19,MATCH(C9,Palette!$A$2:$A$19,0)),2,2))+(255-HEX2DEC(MID(INDEX(Palette!$B$2:$B$19,MATCH(C9,Palette!$A$2:$A$19,0)),2,2)))*0.25,0),2)&amp;DEC2HEX(ROUND(HEX2DEC(MID(INDEX(Palette!$B$2:$B$19,MATCH(C9,Palette!$A$2:$A$19,0)),4,2))+(255-HEX2DEC(MID(INDEX(Palette!$B$2:$B$19,MATCH(C9,Palette!$A$2:$A$19,0)),4,2)))*0.25,0),2)&amp;DEC2HEX(ROUND(HEX2DEC(MID(INDEX(Palette!$B$2:$B$19,MATCH(C9,Palette!$A$2:$A$19,0)),6,2))+(255-HEX2DEC(MID(INDEX(Palette!$B$2:$B$19,MATCH(C9,Palette!$A$2:$A$19,0)),6,2)))*0.25,0),2),INDEX(Palette!$B$2:$B$19,MATCH(C9,Palette!$A$2:$A$19,0)))))</f>
        <v/>
      </c>
      <c r="H9" s="4" t="str">
        <f aca="false">IF(G9="","",IF((1.05)/((0.2126*HEX2DEC(MID(G9,2,2))+0.7152*HEX2DEC(MID(G9,4,2))+0.0722*HEX2DEC(MID(G9,6,2)))/255+0.05)&gt;=4.5,"Yes","CHECK — may need dark text"))</f>
        <v/>
      </c>
      <c r="I9" s="4" t="str">
        <f aca="false">IF(G9="","",IF(((0.2126*HEX2DEC(MID(G9,2,2))+0.7152*HEX2DEC(MID(G9,4,2))+0.0722*HEX2DEC(MID(G9,6,2)))/255+0.05)/((0.2126*11+0.7152*27+0.0722*52)/255+0.05)&gt;=3,"Yes","CHECK — may need a brighter shade"))</f>
        <v/>
      </c>
      <c r="J9" s="3"/>
      <c r="K9" s="3"/>
      <c r="L9" s="3"/>
      <c r="M9" s="3" t="s">
        <v>15</v>
      </c>
    </row>
    <row r="10" customFormat="false" ht="15" hidden="false" customHeight="false" outlineLevel="0" collapsed="false">
      <c r="A10" s="4" t="s">
        <v>36</v>
      </c>
      <c r="B10" s="4" t="s">
        <v>37</v>
      </c>
      <c r="C10" s="3"/>
      <c r="D10" s="3"/>
      <c r="E10" s="3"/>
      <c r="F10" s="3"/>
      <c r="G10" s="4" t="str">
        <f aca="false">IF(C10="","",IF(D10="Darker","#"&amp;DEC2HEX(ROUND(HEX2DEC(MID(INDEX(Palette!$B$2:$B$19,MATCH(C10,Palette!$A$2:$A$19,0)),2,2))*0.75,0),2)&amp;DEC2HEX(ROUND(HEX2DEC(MID(INDEX(Palette!$B$2:$B$19,MATCH(C10,Palette!$A$2:$A$19,0)),4,2))*0.75,0),2)&amp;DEC2HEX(ROUND(HEX2DEC(MID(INDEX(Palette!$B$2:$B$19,MATCH(C10,Palette!$A$2:$A$19,0)),6,2))*0.75,0),2),IF(D10="Lighter","#"&amp;DEC2HEX(ROUND(HEX2DEC(MID(INDEX(Palette!$B$2:$B$19,MATCH(C10,Palette!$A$2:$A$19,0)),2,2))+(255-HEX2DEC(MID(INDEX(Palette!$B$2:$B$19,MATCH(C10,Palette!$A$2:$A$19,0)),2,2)))*0.25,0),2)&amp;DEC2HEX(ROUND(HEX2DEC(MID(INDEX(Palette!$B$2:$B$19,MATCH(C10,Palette!$A$2:$A$19,0)),4,2))+(255-HEX2DEC(MID(INDEX(Palette!$B$2:$B$19,MATCH(C10,Palette!$A$2:$A$19,0)),4,2)))*0.25,0),2)&amp;DEC2HEX(ROUND(HEX2DEC(MID(INDEX(Palette!$B$2:$B$19,MATCH(C10,Palette!$A$2:$A$19,0)),6,2))+(255-HEX2DEC(MID(INDEX(Palette!$B$2:$B$19,MATCH(C10,Palette!$A$2:$A$19,0)),6,2)))*0.25,0),2),INDEX(Palette!$B$2:$B$19,MATCH(C10,Palette!$A$2:$A$19,0)))))</f>
        <v/>
      </c>
      <c r="H10" s="4" t="str">
        <f aca="false">IF(G10="","",IF((1.05)/((0.2126*HEX2DEC(MID(G10,2,2))+0.7152*HEX2DEC(MID(G10,4,2))+0.0722*HEX2DEC(MID(G10,6,2)))/255+0.05)&gt;=4.5,"Yes","CHECK — may need dark text"))</f>
        <v/>
      </c>
      <c r="I10" s="4" t="str">
        <f aca="false">IF(G10="","",IF(((0.2126*HEX2DEC(MID(G10,2,2))+0.7152*HEX2DEC(MID(G10,4,2))+0.0722*HEX2DEC(MID(G10,6,2)))/255+0.05)/((0.2126*11+0.7152*27+0.0722*52)/255+0.05)&gt;=3,"Yes","CHECK — may need a brighter shade"))</f>
        <v/>
      </c>
      <c r="J10" s="3"/>
      <c r="K10" s="3"/>
      <c r="L10" s="3"/>
      <c r="M10" s="3" t="s">
        <v>15</v>
      </c>
    </row>
    <row r="11" customFormat="false" ht="15" hidden="false" customHeight="false" outlineLevel="0" collapsed="false">
      <c r="A11" s="4" t="s">
        <v>38</v>
      </c>
      <c r="B11" s="4" t="s">
        <v>39</v>
      </c>
      <c r="C11" s="3"/>
      <c r="D11" s="3"/>
      <c r="E11" s="3"/>
      <c r="F11" s="3"/>
      <c r="G11" s="4" t="str">
        <f aca="false">IF(C11="","",IF(D11="Darker","#"&amp;DEC2HEX(ROUND(HEX2DEC(MID(INDEX(Palette!$B$2:$B$19,MATCH(C11,Palette!$A$2:$A$19,0)),2,2))*0.75,0),2)&amp;DEC2HEX(ROUND(HEX2DEC(MID(INDEX(Palette!$B$2:$B$19,MATCH(C11,Palette!$A$2:$A$19,0)),4,2))*0.75,0),2)&amp;DEC2HEX(ROUND(HEX2DEC(MID(INDEX(Palette!$B$2:$B$19,MATCH(C11,Palette!$A$2:$A$19,0)),6,2))*0.75,0),2),IF(D11="Lighter","#"&amp;DEC2HEX(ROUND(HEX2DEC(MID(INDEX(Palette!$B$2:$B$19,MATCH(C11,Palette!$A$2:$A$19,0)),2,2))+(255-HEX2DEC(MID(INDEX(Palette!$B$2:$B$19,MATCH(C11,Palette!$A$2:$A$19,0)),2,2)))*0.25,0),2)&amp;DEC2HEX(ROUND(HEX2DEC(MID(INDEX(Palette!$B$2:$B$19,MATCH(C11,Palette!$A$2:$A$19,0)),4,2))+(255-HEX2DEC(MID(INDEX(Palette!$B$2:$B$19,MATCH(C11,Palette!$A$2:$A$19,0)),4,2)))*0.25,0),2)&amp;DEC2HEX(ROUND(HEX2DEC(MID(INDEX(Palette!$B$2:$B$19,MATCH(C11,Palette!$A$2:$A$19,0)),6,2))+(255-HEX2DEC(MID(INDEX(Palette!$B$2:$B$19,MATCH(C11,Palette!$A$2:$A$19,0)),6,2)))*0.25,0),2),INDEX(Palette!$B$2:$B$19,MATCH(C11,Palette!$A$2:$A$19,0)))))</f>
        <v/>
      </c>
      <c r="H11" s="4" t="str">
        <f aca="false">IF(G11="","",IF((1.05)/((0.2126*HEX2DEC(MID(G11,2,2))+0.7152*HEX2DEC(MID(G11,4,2))+0.0722*HEX2DEC(MID(G11,6,2)))/255+0.05)&gt;=4.5,"Yes","CHECK — may need dark text"))</f>
        <v/>
      </c>
      <c r="I11" s="4" t="str">
        <f aca="false">IF(G11="","",IF(((0.2126*HEX2DEC(MID(G11,2,2))+0.7152*HEX2DEC(MID(G11,4,2))+0.0722*HEX2DEC(MID(G11,6,2)))/255+0.05)/((0.2126*11+0.7152*27+0.0722*52)/255+0.05)&gt;=3,"Yes","CHECK — may need a brighter shade"))</f>
        <v/>
      </c>
      <c r="J11" s="3"/>
      <c r="K11" s="3"/>
      <c r="L11" s="3"/>
      <c r="M11" s="3" t="s">
        <v>15</v>
      </c>
    </row>
    <row r="12" customFormat="false" ht="15" hidden="false" customHeight="false" outlineLevel="0" collapsed="false">
      <c r="A12" s="4" t="s">
        <v>40</v>
      </c>
      <c r="B12" s="4" t="s">
        <v>41</v>
      </c>
      <c r="C12" s="3"/>
      <c r="D12" s="3"/>
      <c r="E12" s="3"/>
      <c r="F12" s="3"/>
      <c r="G12" s="4" t="str">
        <f aca="false">IF(C12="","",IF(D12="Darker","#"&amp;DEC2HEX(ROUND(HEX2DEC(MID(INDEX(Palette!$B$2:$B$19,MATCH(C12,Palette!$A$2:$A$19,0)),2,2))*0.75,0),2)&amp;DEC2HEX(ROUND(HEX2DEC(MID(INDEX(Palette!$B$2:$B$19,MATCH(C12,Palette!$A$2:$A$19,0)),4,2))*0.75,0),2)&amp;DEC2HEX(ROUND(HEX2DEC(MID(INDEX(Palette!$B$2:$B$19,MATCH(C12,Palette!$A$2:$A$19,0)),6,2))*0.75,0),2),IF(D12="Lighter","#"&amp;DEC2HEX(ROUND(HEX2DEC(MID(INDEX(Palette!$B$2:$B$19,MATCH(C12,Palette!$A$2:$A$19,0)),2,2))+(255-HEX2DEC(MID(INDEX(Palette!$B$2:$B$19,MATCH(C12,Palette!$A$2:$A$19,0)),2,2)))*0.25,0),2)&amp;DEC2HEX(ROUND(HEX2DEC(MID(INDEX(Palette!$B$2:$B$19,MATCH(C12,Palette!$A$2:$A$19,0)),4,2))+(255-HEX2DEC(MID(INDEX(Palette!$B$2:$B$19,MATCH(C12,Palette!$A$2:$A$19,0)),4,2)))*0.25,0),2)&amp;DEC2HEX(ROUND(HEX2DEC(MID(INDEX(Palette!$B$2:$B$19,MATCH(C12,Palette!$A$2:$A$19,0)),6,2))+(255-HEX2DEC(MID(INDEX(Palette!$B$2:$B$19,MATCH(C12,Palette!$A$2:$A$19,0)),6,2)))*0.25,0),2),INDEX(Palette!$B$2:$B$19,MATCH(C12,Palette!$A$2:$A$19,0)))))</f>
        <v/>
      </c>
      <c r="H12" s="4" t="str">
        <f aca="false">IF(G12="","",IF((1.05)/((0.2126*HEX2DEC(MID(G12,2,2))+0.7152*HEX2DEC(MID(G12,4,2))+0.0722*HEX2DEC(MID(G12,6,2)))/255+0.05)&gt;=4.5,"Yes","CHECK — may need dark text"))</f>
        <v/>
      </c>
      <c r="I12" s="4" t="str">
        <f aca="false">IF(G12="","",IF(((0.2126*HEX2DEC(MID(G12,2,2))+0.7152*HEX2DEC(MID(G12,4,2))+0.0722*HEX2DEC(MID(G12,6,2)))/255+0.05)/((0.2126*11+0.7152*27+0.0722*52)/255+0.05)&gt;=3,"Yes","CHECK — may need a brighter shade"))</f>
        <v/>
      </c>
      <c r="J12" s="3"/>
      <c r="K12" s="3"/>
      <c r="L12" s="3"/>
      <c r="M12" s="3" t="s">
        <v>15</v>
      </c>
    </row>
    <row r="13" customFormat="false" ht="15" hidden="false" customHeight="false" outlineLevel="0" collapsed="false">
      <c r="A13" s="4" t="s">
        <v>42</v>
      </c>
      <c r="B13" s="4" t="s">
        <v>43</v>
      </c>
      <c r="C13" s="3"/>
      <c r="D13" s="3"/>
      <c r="E13" s="3"/>
      <c r="F13" s="3"/>
      <c r="G13" s="4" t="str">
        <f aca="false">IF(C13="","",IF(D13="Darker","#"&amp;DEC2HEX(ROUND(HEX2DEC(MID(INDEX(Palette!$B$2:$B$19,MATCH(C13,Palette!$A$2:$A$19,0)),2,2))*0.75,0),2)&amp;DEC2HEX(ROUND(HEX2DEC(MID(INDEX(Palette!$B$2:$B$19,MATCH(C13,Palette!$A$2:$A$19,0)),4,2))*0.75,0),2)&amp;DEC2HEX(ROUND(HEX2DEC(MID(INDEX(Palette!$B$2:$B$19,MATCH(C13,Palette!$A$2:$A$19,0)),6,2))*0.75,0),2),IF(D13="Lighter","#"&amp;DEC2HEX(ROUND(HEX2DEC(MID(INDEX(Palette!$B$2:$B$19,MATCH(C13,Palette!$A$2:$A$19,0)),2,2))+(255-HEX2DEC(MID(INDEX(Palette!$B$2:$B$19,MATCH(C13,Palette!$A$2:$A$19,0)),2,2)))*0.25,0),2)&amp;DEC2HEX(ROUND(HEX2DEC(MID(INDEX(Palette!$B$2:$B$19,MATCH(C13,Palette!$A$2:$A$19,0)),4,2))+(255-HEX2DEC(MID(INDEX(Palette!$B$2:$B$19,MATCH(C13,Palette!$A$2:$A$19,0)),4,2)))*0.25,0),2)&amp;DEC2HEX(ROUND(HEX2DEC(MID(INDEX(Palette!$B$2:$B$19,MATCH(C13,Palette!$A$2:$A$19,0)),6,2))+(255-HEX2DEC(MID(INDEX(Palette!$B$2:$B$19,MATCH(C13,Palette!$A$2:$A$19,0)),6,2)))*0.25,0),2),INDEX(Palette!$B$2:$B$19,MATCH(C13,Palette!$A$2:$A$19,0)))))</f>
        <v/>
      </c>
      <c r="H13" s="4" t="str">
        <f aca="false">IF(G13="","",IF((1.05)/((0.2126*HEX2DEC(MID(G13,2,2))+0.7152*HEX2DEC(MID(G13,4,2))+0.0722*HEX2DEC(MID(G13,6,2)))/255+0.05)&gt;=4.5,"Yes","CHECK — may need dark text"))</f>
        <v/>
      </c>
      <c r="I13" s="4" t="str">
        <f aca="false">IF(G13="","",IF(((0.2126*HEX2DEC(MID(G13,2,2))+0.7152*HEX2DEC(MID(G13,4,2))+0.0722*HEX2DEC(MID(G13,6,2)))/255+0.05)/((0.2126*11+0.7152*27+0.0722*52)/255+0.05)&gt;=3,"Yes","CHECK — may need a brighter shade"))</f>
        <v/>
      </c>
      <c r="J13" s="3"/>
      <c r="K13" s="3"/>
      <c r="L13" s="3"/>
      <c r="M13" s="3" t="s">
        <v>15</v>
      </c>
    </row>
    <row r="14" customFormat="false" ht="15" hidden="false" customHeight="false" outlineLevel="0" collapsed="false">
      <c r="A14" s="4" t="s">
        <v>44</v>
      </c>
      <c r="B14" s="4" t="s">
        <v>45</v>
      </c>
      <c r="C14" s="3"/>
      <c r="D14" s="3"/>
      <c r="E14" s="3"/>
      <c r="F14" s="3"/>
      <c r="G14" s="4" t="str">
        <f aca="false">IF(C14="","",IF(D14="Darker","#"&amp;DEC2HEX(ROUND(HEX2DEC(MID(INDEX(Palette!$B$2:$B$19,MATCH(C14,Palette!$A$2:$A$19,0)),2,2))*0.75,0),2)&amp;DEC2HEX(ROUND(HEX2DEC(MID(INDEX(Palette!$B$2:$B$19,MATCH(C14,Palette!$A$2:$A$19,0)),4,2))*0.75,0),2)&amp;DEC2HEX(ROUND(HEX2DEC(MID(INDEX(Palette!$B$2:$B$19,MATCH(C14,Palette!$A$2:$A$19,0)),6,2))*0.75,0),2),IF(D14="Lighter","#"&amp;DEC2HEX(ROUND(HEX2DEC(MID(INDEX(Palette!$B$2:$B$19,MATCH(C14,Palette!$A$2:$A$19,0)),2,2))+(255-HEX2DEC(MID(INDEX(Palette!$B$2:$B$19,MATCH(C14,Palette!$A$2:$A$19,0)),2,2)))*0.25,0),2)&amp;DEC2HEX(ROUND(HEX2DEC(MID(INDEX(Palette!$B$2:$B$19,MATCH(C14,Palette!$A$2:$A$19,0)),4,2))+(255-HEX2DEC(MID(INDEX(Palette!$B$2:$B$19,MATCH(C14,Palette!$A$2:$A$19,0)),4,2)))*0.25,0),2)&amp;DEC2HEX(ROUND(HEX2DEC(MID(INDEX(Palette!$B$2:$B$19,MATCH(C14,Palette!$A$2:$A$19,0)),6,2))+(255-HEX2DEC(MID(INDEX(Palette!$B$2:$B$19,MATCH(C14,Palette!$A$2:$A$19,0)),6,2)))*0.25,0),2),INDEX(Palette!$B$2:$B$19,MATCH(C14,Palette!$A$2:$A$19,0)))))</f>
        <v/>
      </c>
      <c r="H14" s="4" t="str">
        <f aca="false">IF(G14="","",IF((1.05)/((0.2126*HEX2DEC(MID(G14,2,2))+0.7152*HEX2DEC(MID(G14,4,2))+0.0722*HEX2DEC(MID(G14,6,2)))/255+0.05)&gt;=4.5,"Yes","CHECK — may need dark text"))</f>
        <v/>
      </c>
      <c r="I14" s="4" t="str">
        <f aca="false">IF(G14="","",IF(((0.2126*HEX2DEC(MID(G14,2,2))+0.7152*HEX2DEC(MID(G14,4,2))+0.0722*HEX2DEC(MID(G14,6,2)))/255+0.05)/((0.2126*11+0.7152*27+0.0722*52)/255+0.05)&gt;=3,"Yes","CHECK — may need a brighter shade"))</f>
        <v/>
      </c>
      <c r="J14" s="3"/>
      <c r="K14" s="3"/>
      <c r="L14" s="3"/>
      <c r="M14" s="3" t="s">
        <v>15</v>
      </c>
    </row>
    <row r="15" customFormat="false" ht="15" hidden="false" customHeight="false" outlineLevel="0" collapsed="false">
      <c r="A15" s="4" t="s">
        <v>46</v>
      </c>
      <c r="B15" s="4" t="s">
        <v>47</v>
      </c>
      <c r="C15" s="3"/>
      <c r="D15" s="3"/>
      <c r="E15" s="3"/>
      <c r="F15" s="3"/>
      <c r="G15" s="4" t="str">
        <f aca="false">IF(C15="","",IF(D15="Darker","#"&amp;DEC2HEX(ROUND(HEX2DEC(MID(INDEX(Palette!$B$2:$B$19,MATCH(C15,Palette!$A$2:$A$19,0)),2,2))*0.75,0),2)&amp;DEC2HEX(ROUND(HEX2DEC(MID(INDEX(Palette!$B$2:$B$19,MATCH(C15,Palette!$A$2:$A$19,0)),4,2))*0.75,0),2)&amp;DEC2HEX(ROUND(HEX2DEC(MID(INDEX(Palette!$B$2:$B$19,MATCH(C15,Palette!$A$2:$A$19,0)),6,2))*0.75,0),2),IF(D15="Lighter","#"&amp;DEC2HEX(ROUND(HEX2DEC(MID(INDEX(Palette!$B$2:$B$19,MATCH(C15,Palette!$A$2:$A$19,0)),2,2))+(255-HEX2DEC(MID(INDEX(Palette!$B$2:$B$19,MATCH(C15,Palette!$A$2:$A$19,0)),2,2)))*0.25,0),2)&amp;DEC2HEX(ROUND(HEX2DEC(MID(INDEX(Palette!$B$2:$B$19,MATCH(C15,Palette!$A$2:$A$19,0)),4,2))+(255-HEX2DEC(MID(INDEX(Palette!$B$2:$B$19,MATCH(C15,Palette!$A$2:$A$19,0)),4,2)))*0.25,0),2)&amp;DEC2HEX(ROUND(HEX2DEC(MID(INDEX(Palette!$B$2:$B$19,MATCH(C15,Palette!$A$2:$A$19,0)),6,2))+(255-HEX2DEC(MID(INDEX(Palette!$B$2:$B$19,MATCH(C15,Palette!$A$2:$A$19,0)),6,2)))*0.25,0),2),INDEX(Palette!$B$2:$B$19,MATCH(C15,Palette!$A$2:$A$19,0)))))</f>
        <v/>
      </c>
      <c r="H15" s="4" t="str">
        <f aca="false">IF(G15="","",IF((1.05)/((0.2126*HEX2DEC(MID(G15,2,2))+0.7152*HEX2DEC(MID(G15,4,2))+0.0722*HEX2DEC(MID(G15,6,2)))/255+0.05)&gt;=4.5,"Yes","CHECK — may need dark text"))</f>
        <v/>
      </c>
      <c r="I15" s="4" t="str">
        <f aca="false">IF(G15="","",IF(((0.2126*HEX2DEC(MID(G15,2,2))+0.7152*HEX2DEC(MID(G15,4,2))+0.0722*HEX2DEC(MID(G15,6,2)))/255+0.05)/((0.2126*11+0.7152*27+0.0722*52)/255+0.05)&gt;=3,"Yes","CHECK — may need a brighter shade"))</f>
        <v/>
      </c>
      <c r="J15" s="3"/>
      <c r="K15" s="3"/>
      <c r="L15" s="3"/>
      <c r="M15" s="3" t="s">
        <v>15</v>
      </c>
    </row>
    <row r="16" customFormat="false" ht="15" hidden="false" customHeight="false" outlineLevel="0" collapsed="false">
      <c r="A16" s="4" t="s">
        <v>48</v>
      </c>
      <c r="B16" s="4" t="s">
        <v>49</v>
      </c>
      <c r="C16" s="3"/>
      <c r="D16" s="3"/>
      <c r="E16" s="3"/>
      <c r="F16" s="3"/>
      <c r="G16" s="4" t="str">
        <f aca="false">IF(C16="","",IF(D16="Darker","#"&amp;DEC2HEX(ROUND(HEX2DEC(MID(INDEX(Palette!$B$2:$B$19,MATCH(C16,Palette!$A$2:$A$19,0)),2,2))*0.75,0),2)&amp;DEC2HEX(ROUND(HEX2DEC(MID(INDEX(Palette!$B$2:$B$19,MATCH(C16,Palette!$A$2:$A$19,0)),4,2))*0.75,0),2)&amp;DEC2HEX(ROUND(HEX2DEC(MID(INDEX(Palette!$B$2:$B$19,MATCH(C16,Palette!$A$2:$A$19,0)),6,2))*0.75,0),2),IF(D16="Lighter","#"&amp;DEC2HEX(ROUND(HEX2DEC(MID(INDEX(Palette!$B$2:$B$19,MATCH(C16,Palette!$A$2:$A$19,0)),2,2))+(255-HEX2DEC(MID(INDEX(Palette!$B$2:$B$19,MATCH(C16,Palette!$A$2:$A$19,0)),2,2)))*0.25,0),2)&amp;DEC2HEX(ROUND(HEX2DEC(MID(INDEX(Palette!$B$2:$B$19,MATCH(C16,Palette!$A$2:$A$19,0)),4,2))+(255-HEX2DEC(MID(INDEX(Palette!$B$2:$B$19,MATCH(C16,Palette!$A$2:$A$19,0)),4,2)))*0.25,0),2)&amp;DEC2HEX(ROUND(HEX2DEC(MID(INDEX(Palette!$B$2:$B$19,MATCH(C16,Palette!$A$2:$A$19,0)),6,2))+(255-HEX2DEC(MID(INDEX(Palette!$B$2:$B$19,MATCH(C16,Palette!$A$2:$A$19,0)),6,2)))*0.25,0),2),INDEX(Palette!$B$2:$B$19,MATCH(C16,Palette!$A$2:$A$19,0)))))</f>
        <v/>
      </c>
      <c r="H16" s="4" t="str">
        <f aca="false">IF(G16="","",IF((1.05)/((0.2126*HEX2DEC(MID(G16,2,2))+0.7152*HEX2DEC(MID(G16,4,2))+0.0722*HEX2DEC(MID(G16,6,2)))/255+0.05)&gt;=4.5,"Yes","CHECK — may need dark text"))</f>
        <v/>
      </c>
      <c r="I16" s="4" t="str">
        <f aca="false">IF(G16="","",IF(((0.2126*HEX2DEC(MID(G16,2,2))+0.7152*HEX2DEC(MID(G16,4,2))+0.0722*HEX2DEC(MID(G16,6,2)))/255+0.05)/((0.2126*11+0.7152*27+0.0722*52)/255+0.05)&gt;=3,"Yes","CHECK — may need a brighter shade"))</f>
        <v/>
      </c>
      <c r="J16" s="3"/>
      <c r="K16" s="3"/>
      <c r="L16" s="3"/>
      <c r="M16" s="3" t="s">
        <v>15</v>
      </c>
    </row>
    <row r="17" customFormat="false" ht="15" hidden="false" customHeight="false" outlineLevel="0" collapsed="false">
      <c r="A17" s="4" t="s">
        <v>50</v>
      </c>
      <c r="B17" s="4" t="s">
        <v>51</v>
      </c>
      <c r="C17" s="3"/>
      <c r="D17" s="3"/>
      <c r="E17" s="3"/>
      <c r="F17" s="3"/>
      <c r="G17" s="4" t="str">
        <f aca="false">IF(C17="","",IF(D17="Darker","#"&amp;DEC2HEX(ROUND(HEX2DEC(MID(INDEX(Palette!$B$2:$B$19,MATCH(C17,Palette!$A$2:$A$19,0)),2,2))*0.75,0),2)&amp;DEC2HEX(ROUND(HEX2DEC(MID(INDEX(Palette!$B$2:$B$19,MATCH(C17,Palette!$A$2:$A$19,0)),4,2))*0.75,0),2)&amp;DEC2HEX(ROUND(HEX2DEC(MID(INDEX(Palette!$B$2:$B$19,MATCH(C17,Palette!$A$2:$A$19,0)),6,2))*0.75,0),2),IF(D17="Lighter","#"&amp;DEC2HEX(ROUND(HEX2DEC(MID(INDEX(Palette!$B$2:$B$19,MATCH(C17,Palette!$A$2:$A$19,0)),2,2))+(255-HEX2DEC(MID(INDEX(Palette!$B$2:$B$19,MATCH(C17,Palette!$A$2:$A$19,0)),2,2)))*0.25,0),2)&amp;DEC2HEX(ROUND(HEX2DEC(MID(INDEX(Palette!$B$2:$B$19,MATCH(C17,Palette!$A$2:$A$19,0)),4,2))+(255-HEX2DEC(MID(INDEX(Palette!$B$2:$B$19,MATCH(C17,Palette!$A$2:$A$19,0)),4,2)))*0.25,0),2)&amp;DEC2HEX(ROUND(HEX2DEC(MID(INDEX(Palette!$B$2:$B$19,MATCH(C17,Palette!$A$2:$A$19,0)),6,2))+(255-HEX2DEC(MID(INDEX(Palette!$B$2:$B$19,MATCH(C17,Palette!$A$2:$A$19,0)),6,2)))*0.25,0),2),INDEX(Palette!$B$2:$B$19,MATCH(C17,Palette!$A$2:$A$19,0)))))</f>
        <v/>
      </c>
      <c r="H17" s="4" t="str">
        <f aca="false">IF(G17="","",IF((1.05)/((0.2126*HEX2DEC(MID(G17,2,2))+0.7152*HEX2DEC(MID(G17,4,2))+0.0722*HEX2DEC(MID(G17,6,2)))/255+0.05)&gt;=4.5,"Yes","CHECK — may need dark text"))</f>
        <v/>
      </c>
      <c r="I17" s="4" t="str">
        <f aca="false">IF(G17="","",IF(((0.2126*HEX2DEC(MID(G17,2,2))+0.7152*HEX2DEC(MID(G17,4,2))+0.0722*HEX2DEC(MID(G17,6,2)))/255+0.05)/((0.2126*11+0.7152*27+0.0722*52)/255+0.05)&gt;=3,"Yes","CHECK — may need a brighter shade"))</f>
        <v/>
      </c>
      <c r="J17" s="3"/>
      <c r="K17" s="3"/>
      <c r="L17" s="3"/>
      <c r="M17" s="3" t="s">
        <v>15</v>
      </c>
    </row>
    <row r="18" customFormat="false" ht="15" hidden="false" customHeight="false" outlineLevel="0" collapsed="false">
      <c r="A18" s="4" t="s">
        <v>52</v>
      </c>
      <c r="B18" s="4" t="s">
        <v>53</v>
      </c>
      <c r="C18" s="3"/>
      <c r="D18" s="3"/>
      <c r="E18" s="3"/>
      <c r="F18" s="3"/>
      <c r="G18" s="4" t="str">
        <f aca="false">IF(C18="","",IF(D18="Darker","#"&amp;DEC2HEX(ROUND(HEX2DEC(MID(INDEX(Palette!$B$2:$B$19,MATCH(C18,Palette!$A$2:$A$19,0)),2,2))*0.75,0),2)&amp;DEC2HEX(ROUND(HEX2DEC(MID(INDEX(Palette!$B$2:$B$19,MATCH(C18,Palette!$A$2:$A$19,0)),4,2))*0.75,0),2)&amp;DEC2HEX(ROUND(HEX2DEC(MID(INDEX(Palette!$B$2:$B$19,MATCH(C18,Palette!$A$2:$A$19,0)),6,2))*0.75,0),2),IF(D18="Lighter","#"&amp;DEC2HEX(ROUND(HEX2DEC(MID(INDEX(Palette!$B$2:$B$19,MATCH(C18,Palette!$A$2:$A$19,0)),2,2))+(255-HEX2DEC(MID(INDEX(Palette!$B$2:$B$19,MATCH(C18,Palette!$A$2:$A$19,0)),2,2)))*0.25,0),2)&amp;DEC2HEX(ROUND(HEX2DEC(MID(INDEX(Palette!$B$2:$B$19,MATCH(C18,Palette!$A$2:$A$19,0)),4,2))+(255-HEX2DEC(MID(INDEX(Palette!$B$2:$B$19,MATCH(C18,Palette!$A$2:$A$19,0)),4,2)))*0.25,0),2)&amp;DEC2HEX(ROUND(HEX2DEC(MID(INDEX(Palette!$B$2:$B$19,MATCH(C18,Palette!$A$2:$A$19,0)),6,2))+(255-HEX2DEC(MID(INDEX(Palette!$B$2:$B$19,MATCH(C18,Palette!$A$2:$A$19,0)),6,2)))*0.25,0),2),INDEX(Palette!$B$2:$B$19,MATCH(C18,Palette!$A$2:$A$19,0)))))</f>
        <v/>
      </c>
      <c r="H18" s="4" t="str">
        <f aca="false">IF(G18="","",IF((1.05)/((0.2126*HEX2DEC(MID(G18,2,2))+0.7152*HEX2DEC(MID(G18,4,2))+0.0722*HEX2DEC(MID(G18,6,2)))/255+0.05)&gt;=4.5,"Yes","CHECK — may need dark text"))</f>
        <v/>
      </c>
      <c r="I18" s="4" t="str">
        <f aca="false">IF(G18="","",IF(((0.2126*HEX2DEC(MID(G18,2,2))+0.7152*HEX2DEC(MID(G18,4,2))+0.0722*HEX2DEC(MID(G18,6,2)))/255+0.05)/((0.2126*11+0.7152*27+0.0722*52)/255+0.05)&gt;=3,"Yes","CHECK — may need a brighter shade"))</f>
        <v/>
      </c>
      <c r="J18" s="3"/>
      <c r="K18" s="3"/>
      <c r="L18" s="3"/>
      <c r="M18" s="3" t="s">
        <v>15</v>
      </c>
    </row>
    <row r="19" customFormat="false" ht="15" hidden="false" customHeight="false" outlineLevel="0" collapsed="false">
      <c r="A19" s="4" t="s">
        <v>54</v>
      </c>
      <c r="B19" s="4" t="s">
        <v>55</v>
      </c>
      <c r="C19" s="3"/>
      <c r="D19" s="3"/>
      <c r="E19" s="3"/>
      <c r="F19" s="3"/>
      <c r="G19" s="4" t="str">
        <f aca="false">IF(C19="","",IF(D19="Darker","#"&amp;DEC2HEX(ROUND(HEX2DEC(MID(INDEX(Palette!$B$2:$B$19,MATCH(C19,Palette!$A$2:$A$19,0)),2,2))*0.75,0),2)&amp;DEC2HEX(ROUND(HEX2DEC(MID(INDEX(Palette!$B$2:$B$19,MATCH(C19,Palette!$A$2:$A$19,0)),4,2))*0.75,0),2)&amp;DEC2HEX(ROUND(HEX2DEC(MID(INDEX(Palette!$B$2:$B$19,MATCH(C19,Palette!$A$2:$A$19,0)),6,2))*0.75,0),2),IF(D19="Lighter","#"&amp;DEC2HEX(ROUND(HEX2DEC(MID(INDEX(Palette!$B$2:$B$19,MATCH(C19,Palette!$A$2:$A$19,0)),2,2))+(255-HEX2DEC(MID(INDEX(Palette!$B$2:$B$19,MATCH(C19,Palette!$A$2:$A$19,0)),2,2)))*0.25,0),2)&amp;DEC2HEX(ROUND(HEX2DEC(MID(INDEX(Palette!$B$2:$B$19,MATCH(C19,Palette!$A$2:$A$19,0)),4,2))+(255-HEX2DEC(MID(INDEX(Palette!$B$2:$B$19,MATCH(C19,Palette!$A$2:$A$19,0)),4,2)))*0.25,0),2)&amp;DEC2HEX(ROUND(HEX2DEC(MID(INDEX(Palette!$B$2:$B$19,MATCH(C19,Palette!$A$2:$A$19,0)),6,2))+(255-HEX2DEC(MID(INDEX(Palette!$B$2:$B$19,MATCH(C19,Palette!$A$2:$A$19,0)),6,2)))*0.25,0),2),INDEX(Palette!$B$2:$B$19,MATCH(C19,Palette!$A$2:$A$19,0)))))</f>
        <v/>
      </c>
      <c r="H19" s="4" t="str">
        <f aca="false">IF(G19="","",IF((1.05)/((0.2126*HEX2DEC(MID(G19,2,2))+0.7152*HEX2DEC(MID(G19,4,2))+0.0722*HEX2DEC(MID(G19,6,2)))/255+0.05)&gt;=4.5,"Yes","CHECK — may need dark text"))</f>
        <v/>
      </c>
      <c r="I19" s="4" t="str">
        <f aca="false">IF(G19="","",IF(((0.2126*HEX2DEC(MID(G19,2,2))+0.7152*HEX2DEC(MID(G19,4,2))+0.0722*HEX2DEC(MID(G19,6,2)))/255+0.05)/((0.2126*11+0.7152*27+0.0722*52)/255+0.05)&gt;=3,"Yes","CHECK — may need a brighter shade"))</f>
        <v/>
      </c>
      <c r="J19" s="3"/>
      <c r="K19" s="3"/>
      <c r="L19" s="3"/>
      <c r="M19" s="3" t="s">
        <v>15</v>
      </c>
    </row>
    <row r="20" customFormat="false" ht="15" hidden="false" customHeight="false" outlineLevel="0" collapsed="false">
      <c r="A20" s="4" t="s">
        <v>56</v>
      </c>
      <c r="B20" s="4" t="s">
        <v>57</v>
      </c>
      <c r="C20" s="3"/>
      <c r="D20" s="3"/>
      <c r="E20" s="3"/>
      <c r="F20" s="3"/>
      <c r="G20" s="4" t="str">
        <f aca="false">IF(C20="","",IF(D20="Darker","#"&amp;DEC2HEX(ROUND(HEX2DEC(MID(INDEX(Palette!$B$2:$B$19,MATCH(C20,Palette!$A$2:$A$19,0)),2,2))*0.75,0),2)&amp;DEC2HEX(ROUND(HEX2DEC(MID(INDEX(Palette!$B$2:$B$19,MATCH(C20,Palette!$A$2:$A$19,0)),4,2))*0.75,0),2)&amp;DEC2HEX(ROUND(HEX2DEC(MID(INDEX(Palette!$B$2:$B$19,MATCH(C20,Palette!$A$2:$A$19,0)),6,2))*0.75,0),2),IF(D20="Lighter","#"&amp;DEC2HEX(ROUND(HEX2DEC(MID(INDEX(Palette!$B$2:$B$19,MATCH(C20,Palette!$A$2:$A$19,0)),2,2))+(255-HEX2DEC(MID(INDEX(Palette!$B$2:$B$19,MATCH(C20,Palette!$A$2:$A$19,0)),2,2)))*0.25,0),2)&amp;DEC2HEX(ROUND(HEX2DEC(MID(INDEX(Palette!$B$2:$B$19,MATCH(C20,Palette!$A$2:$A$19,0)),4,2))+(255-HEX2DEC(MID(INDEX(Palette!$B$2:$B$19,MATCH(C20,Palette!$A$2:$A$19,0)),4,2)))*0.25,0),2)&amp;DEC2HEX(ROUND(HEX2DEC(MID(INDEX(Palette!$B$2:$B$19,MATCH(C20,Palette!$A$2:$A$19,0)),6,2))+(255-HEX2DEC(MID(INDEX(Palette!$B$2:$B$19,MATCH(C20,Palette!$A$2:$A$19,0)),6,2)))*0.25,0),2),INDEX(Palette!$B$2:$B$19,MATCH(C20,Palette!$A$2:$A$19,0)))))</f>
        <v/>
      </c>
      <c r="H20" s="4" t="str">
        <f aca="false">IF(G20="","",IF((1.05)/((0.2126*HEX2DEC(MID(G20,2,2))+0.7152*HEX2DEC(MID(G20,4,2))+0.0722*HEX2DEC(MID(G20,6,2)))/255+0.05)&gt;=4.5,"Yes","CHECK — may need dark text"))</f>
        <v/>
      </c>
      <c r="I20" s="4" t="str">
        <f aca="false">IF(G20="","",IF(((0.2126*HEX2DEC(MID(G20,2,2))+0.7152*HEX2DEC(MID(G20,4,2))+0.0722*HEX2DEC(MID(G20,6,2)))/255+0.05)/((0.2126*11+0.7152*27+0.0722*52)/255+0.05)&gt;=3,"Yes","CHECK — may need a brighter shade"))</f>
        <v/>
      </c>
      <c r="J20" s="3"/>
      <c r="K20" s="3"/>
      <c r="L20" s="3"/>
      <c r="M20" s="3" t="s">
        <v>15</v>
      </c>
    </row>
    <row r="21" customFormat="false" ht="15" hidden="false" customHeight="false" outlineLevel="0" collapsed="false">
      <c r="A21" s="4" t="s">
        <v>58</v>
      </c>
      <c r="B21" s="4" t="s">
        <v>59</v>
      </c>
      <c r="C21" s="3"/>
      <c r="D21" s="3"/>
      <c r="E21" s="3"/>
      <c r="F21" s="3"/>
      <c r="G21" s="4" t="str">
        <f aca="false">IF(C21="","",IF(D21="Darker","#"&amp;DEC2HEX(ROUND(HEX2DEC(MID(INDEX(Palette!$B$2:$B$19,MATCH(C21,Palette!$A$2:$A$19,0)),2,2))*0.75,0),2)&amp;DEC2HEX(ROUND(HEX2DEC(MID(INDEX(Palette!$B$2:$B$19,MATCH(C21,Palette!$A$2:$A$19,0)),4,2))*0.75,0),2)&amp;DEC2HEX(ROUND(HEX2DEC(MID(INDEX(Palette!$B$2:$B$19,MATCH(C21,Palette!$A$2:$A$19,0)),6,2))*0.75,0),2),IF(D21="Lighter","#"&amp;DEC2HEX(ROUND(HEX2DEC(MID(INDEX(Palette!$B$2:$B$19,MATCH(C21,Palette!$A$2:$A$19,0)),2,2))+(255-HEX2DEC(MID(INDEX(Palette!$B$2:$B$19,MATCH(C21,Palette!$A$2:$A$19,0)),2,2)))*0.25,0),2)&amp;DEC2HEX(ROUND(HEX2DEC(MID(INDEX(Palette!$B$2:$B$19,MATCH(C21,Palette!$A$2:$A$19,0)),4,2))+(255-HEX2DEC(MID(INDEX(Palette!$B$2:$B$19,MATCH(C21,Palette!$A$2:$A$19,0)),4,2)))*0.25,0),2)&amp;DEC2HEX(ROUND(HEX2DEC(MID(INDEX(Palette!$B$2:$B$19,MATCH(C21,Palette!$A$2:$A$19,0)),6,2))+(255-HEX2DEC(MID(INDEX(Palette!$B$2:$B$19,MATCH(C21,Palette!$A$2:$A$19,0)),6,2)))*0.25,0),2),INDEX(Palette!$B$2:$B$19,MATCH(C21,Palette!$A$2:$A$19,0)))))</f>
        <v/>
      </c>
      <c r="H21" s="4" t="str">
        <f aca="false">IF(G21="","",IF((1.05)/((0.2126*HEX2DEC(MID(G21,2,2))+0.7152*HEX2DEC(MID(G21,4,2))+0.0722*HEX2DEC(MID(G21,6,2)))/255+0.05)&gt;=4.5,"Yes","CHECK — may need dark text"))</f>
        <v/>
      </c>
      <c r="I21" s="4" t="str">
        <f aca="false">IF(G21="","",IF(((0.2126*HEX2DEC(MID(G21,2,2))+0.7152*HEX2DEC(MID(G21,4,2))+0.0722*HEX2DEC(MID(G21,6,2)))/255+0.05)/((0.2126*11+0.7152*27+0.0722*52)/255+0.05)&gt;=3,"Yes","CHECK — may need a brighter shade"))</f>
        <v/>
      </c>
      <c r="J21" s="3"/>
      <c r="K21" s="3"/>
      <c r="L21" s="3"/>
      <c r="M21" s="3" t="s">
        <v>15</v>
      </c>
    </row>
    <row r="22" customFormat="false" ht="15" hidden="false" customHeight="false" outlineLevel="0" collapsed="false">
      <c r="A22" s="4" t="s">
        <v>60</v>
      </c>
      <c r="B22" s="4" t="s">
        <v>61</v>
      </c>
      <c r="C22" s="3"/>
      <c r="D22" s="3"/>
      <c r="E22" s="3"/>
      <c r="F22" s="3"/>
      <c r="G22" s="4" t="str">
        <f aca="false">IF(C22="","",IF(D22="Darker","#"&amp;DEC2HEX(ROUND(HEX2DEC(MID(INDEX(Palette!$B$2:$B$19,MATCH(C22,Palette!$A$2:$A$19,0)),2,2))*0.75,0),2)&amp;DEC2HEX(ROUND(HEX2DEC(MID(INDEX(Palette!$B$2:$B$19,MATCH(C22,Palette!$A$2:$A$19,0)),4,2))*0.75,0),2)&amp;DEC2HEX(ROUND(HEX2DEC(MID(INDEX(Palette!$B$2:$B$19,MATCH(C22,Palette!$A$2:$A$19,0)),6,2))*0.75,0),2),IF(D22="Lighter","#"&amp;DEC2HEX(ROUND(HEX2DEC(MID(INDEX(Palette!$B$2:$B$19,MATCH(C22,Palette!$A$2:$A$19,0)),2,2))+(255-HEX2DEC(MID(INDEX(Palette!$B$2:$B$19,MATCH(C22,Palette!$A$2:$A$19,0)),2,2)))*0.25,0),2)&amp;DEC2HEX(ROUND(HEX2DEC(MID(INDEX(Palette!$B$2:$B$19,MATCH(C22,Palette!$A$2:$A$19,0)),4,2))+(255-HEX2DEC(MID(INDEX(Palette!$B$2:$B$19,MATCH(C22,Palette!$A$2:$A$19,0)),4,2)))*0.25,0),2)&amp;DEC2HEX(ROUND(HEX2DEC(MID(INDEX(Palette!$B$2:$B$19,MATCH(C22,Palette!$A$2:$A$19,0)),6,2))+(255-HEX2DEC(MID(INDEX(Palette!$B$2:$B$19,MATCH(C22,Palette!$A$2:$A$19,0)),6,2)))*0.25,0),2),INDEX(Palette!$B$2:$B$19,MATCH(C22,Palette!$A$2:$A$19,0)))))</f>
        <v/>
      </c>
      <c r="H22" s="4" t="str">
        <f aca="false">IF(G22="","",IF((1.05)/((0.2126*HEX2DEC(MID(G22,2,2))+0.7152*HEX2DEC(MID(G22,4,2))+0.0722*HEX2DEC(MID(G22,6,2)))/255+0.05)&gt;=4.5,"Yes","CHECK — may need dark text"))</f>
        <v/>
      </c>
      <c r="I22" s="4" t="str">
        <f aca="false">IF(G22="","",IF(((0.2126*HEX2DEC(MID(G22,2,2))+0.7152*HEX2DEC(MID(G22,4,2))+0.0722*HEX2DEC(MID(G22,6,2)))/255+0.05)/((0.2126*11+0.7152*27+0.0722*52)/255+0.05)&gt;=3,"Yes","CHECK — may need a brighter shade"))</f>
        <v/>
      </c>
      <c r="J22" s="3"/>
      <c r="K22" s="3"/>
      <c r="L22" s="3"/>
      <c r="M22" s="3" t="s">
        <v>15</v>
      </c>
    </row>
    <row r="23" customFormat="false" ht="15" hidden="false" customHeight="false" outlineLevel="0" collapsed="false">
      <c r="A23" s="4" t="s">
        <v>62</v>
      </c>
      <c r="B23" s="4" t="s">
        <v>63</v>
      </c>
      <c r="C23" s="3"/>
      <c r="D23" s="3"/>
      <c r="E23" s="3"/>
      <c r="F23" s="3"/>
      <c r="G23" s="4" t="str">
        <f aca="false">IF(C23="","",IF(D23="Darker","#"&amp;DEC2HEX(ROUND(HEX2DEC(MID(INDEX(Palette!$B$2:$B$19,MATCH(C23,Palette!$A$2:$A$19,0)),2,2))*0.75,0),2)&amp;DEC2HEX(ROUND(HEX2DEC(MID(INDEX(Palette!$B$2:$B$19,MATCH(C23,Palette!$A$2:$A$19,0)),4,2))*0.75,0),2)&amp;DEC2HEX(ROUND(HEX2DEC(MID(INDEX(Palette!$B$2:$B$19,MATCH(C23,Palette!$A$2:$A$19,0)),6,2))*0.75,0),2),IF(D23="Lighter","#"&amp;DEC2HEX(ROUND(HEX2DEC(MID(INDEX(Palette!$B$2:$B$19,MATCH(C23,Palette!$A$2:$A$19,0)),2,2))+(255-HEX2DEC(MID(INDEX(Palette!$B$2:$B$19,MATCH(C23,Palette!$A$2:$A$19,0)),2,2)))*0.25,0),2)&amp;DEC2HEX(ROUND(HEX2DEC(MID(INDEX(Palette!$B$2:$B$19,MATCH(C23,Palette!$A$2:$A$19,0)),4,2))+(255-HEX2DEC(MID(INDEX(Palette!$B$2:$B$19,MATCH(C23,Palette!$A$2:$A$19,0)),4,2)))*0.25,0),2)&amp;DEC2HEX(ROUND(HEX2DEC(MID(INDEX(Palette!$B$2:$B$19,MATCH(C23,Palette!$A$2:$A$19,0)),6,2))+(255-HEX2DEC(MID(INDEX(Palette!$B$2:$B$19,MATCH(C23,Palette!$A$2:$A$19,0)),6,2)))*0.25,0),2),INDEX(Palette!$B$2:$B$19,MATCH(C23,Palette!$A$2:$A$19,0)))))</f>
        <v/>
      </c>
      <c r="H23" s="4" t="str">
        <f aca="false">IF(G23="","",IF((1.05)/((0.2126*HEX2DEC(MID(G23,2,2))+0.7152*HEX2DEC(MID(G23,4,2))+0.0722*HEX2DEC(MID(G23,6,2)))/255+0.05)&gt;=4.5,"Yes","CHECK — may need dark text"))</f>
        <v/>
      </c>
      <c r="I23" s="4" t="str">
        <f aca="false">IF(G23="","",IF(((0.2126*HEX2DEC(MID(G23,2,2))+0.7152*HEX2DEC(MID(G23,4,2))+0.0722*HEX2DEC(MID(G23,6,2)))/255+0.05)/((0.2126*11+0.7152*27+0.0722*52)/255+0.05)&gt;=3,"Yes","CHECK — may need a brighter shade"))</f>
        <v/>
      </c>
      <c r="J23" s="3"/>
      <c r="K23" s="3"/>
      <c r="L23" s="3"/>
      <c r="M23" s="3" t="s">
        <v>15</v>
      </c>
    </row>
    <row r="24" customFormat="false" ht="15" hidden="false" customHeight="false" outlineLevel="0" collapsed="false">
      <c r="A24" s="4" t="s">
        <v>64</v>
      </c>
      <c r="B24" s="4" t="s">
        <v>65</v>
      </c>
      <c r="C24" s="3"/>
      <c r="D24" s="3"/>
      <c r="E24" s="3"/>
      <c r="F24" s="3"/>
      <c r="G24" s="4" t="str">
        <f aca="false">IF(C24="","",IF(D24="Darker","#"&amp;DEC2HEX(ROUND(HEX2DEC(MID(INDEX(Palette!$B$2:$B$19,MATCH(C24,Palette!$A$2:$A$19,0)),2,2))*0.75,0),2)&amp;DEC2HEX(ROUND(HEX2DEC(MID(INDEX(Palette!$B$2:$B$19,MATCH(C24,Palette!$A$2:$A$19,0)),4,2))*0.75,0),2)&amp;DEC2HEX(ROUND(HEX2DEC(MID(INDEX(Palette!$B$2:$B$19,MATCH(C24,Palette!$A$2:$A$19,0)),6,2))*0.75,0),2),IF(D24="Lighter","#"&amp;DEC2HEX(ROUND(HEX2DEC(MID(INDEX(Palette!$B$2:$B$19,MATCH(C24,Palette!$A$2:$A$19,0)),2,2))+(255-HEX2DEC(MID(INDEX(Palette!$B$2:$B$19,MATCH(C24,Palette!$A$2:$A$19,0)),2,2)))*0.25,0),2)&amp;DEC2HEX(ROUND(HEX2DEC(MID(INDEX(Palette!$B$2:$B$19,MATCH(C24,Palette!$A$2:$A$19,0)),4,2))+(255-HEX2DEC(MID(INDEX(Palette!$B$2:$B$19,MATCH(C24,Palette!$A$2:$A$19,0)),4,2)))*0.25,0),2)&amp;DEC2HEX(ROUND(HEX2DEC(MID(INDEX(Palette!$B$2:$B$19,MATCH(C24,Palette!$A$2:$A$19,0)),6,2))+(255-HEX2DEC(MID(INDEX(Palette!$B$2:$B$19,MATCH(C24,Palette!$A$2:$A$19,0)),6,2)))*0.25,0),2),INDEX(Palette!$B$2:$B$19,MATCH(C24,Palette!$A$2:$A$19,0)))))</f>
        <v/>
      </c>
      <c r="H24" s="4" t="str">
        <f aca="false">IF(G24="","",IF((1.05)/((0.2126*HEX2DEC(MID(G24,2,2))+0.7152*HEX2DEC(MID(G24,4,2))+0.0722*HEX2DEC(MID(G24,6,2)))/255+0.05)&gt;=4.5,"Yes","CHECK — may need dark text"))</f>
        <v/>
      </c>
      <c r="I24" s="4" t="str">
        <f aca="false">IF(G24="","",IF(((0.2126*HEX2DEC(MID(G24,2,2))+0.7152*HEX2DEC(MID(G24,4,2))+0.0722*HEX2DEC(MID(G24,6,2)))/255+0.05)/((0.2126*11+0.7152*27+0.0722*52)/255+0.05)&gt;=3,"Yes","CHECK — may need a brighter shade"))</f>
        <v/>
      </c>
      <c r="J24" s="3"/>
      <c r="K24" s="3"/>
      <c r="L24" s="3"/>
      <c r="M24" s="3" t="s">
        <v>15</v>
      </c>
    </row>
    <row r="25" customFormat="false" ht="15" hidden="false" customHeight="false" outlineLevel="0" collapsed="false">
      <c r="A25" s="4" t="s">
        <v>66</v>
      </c>
      <c r="B25" s="4" t="s">
        <v>67</v>
      </c>
      <c r="C25" s="3"/>
      <c r="D25" s="3"/>
      <c r="E25" s="3"/>
      <c r="F25" s="3"/>
      <c r="G25" s="4" t="str">
        <f aca="false">IF(C25="","",IF(D25="Darker","#"&amp;DEC2HEX(ROUND(HEX2DEC(MID(INDEX(Palette!$B$2:$B$19,MATCH(C25,Palette!$A$2:$A$19,0)),2,2))*0.75,0),2)&amp;DEC2HEX(ROUND(HEX2DEC(MID(INDEX(Palette!$B$2:$B$19,MATCH(C25,Palette!$A$2:$A$19,0)),4,2))*0.75,0),2)&amp;DEC2HEX(ROUND(HEX2DEC(MID(INDEX(Palette!$B$2:$B$19,MATCH(C25,Palette!$A$2:$A$19,0)),6,2))*0.75,0),2),IF(D25="Lighter","#"&amp;DEC2HEX(ROUND(HEX2DEC(MID(INDEX(Palette!$B$2:$B$19,MATCH(C25,Palette!$A$2:$A$19,0)),2,2))+(255-HEX2DEC(MID(INDEX(Palette!$B$2:$B$19,MATCH(C25,Palette!$A$2:$A$19,0)),2,2)))*0.25,0),2)&amp;DEC2HEX(ROUND(HEX2DEC(MID(INDEX(Palette!$B$2:$B$19,MATCH(C25,Palette!$A$2:$A$19,0)),4,2))+(255-HEX2DEC(MID(INDEX(Palette!$B$2:$B$19,MATCH(C25,Palette!$A$2:$A$19,0)),4,2)))*0.25,0),2)&amp;DEC2HEX(ROUND(HEX2DEC(MID(INDEX(Palette!$B$2:$B$19,MATCH(C25,Palette!$A$2:$A$19,0)),6,2))+(255-HEX2DEC(MID(INDEX(Palette!$B$2:$B$19,MATCH(C25,Palette!$A$2:$A$19,0)),6,2)))*0.25,0),2),INDEX(Palette!$B$2:$B$19,MATCH(C25,Palette!$A$2:$A$19,0)))))</f>
        <v/>
      </c>
      <c r="H25" s="4" t="str">
        <f aca="false">IF(G25="","",IF((1.05)/((0.2126*HEX2DEC(MID(G25,2,2))+0.7152*HEX2DEC(MID(G25,4,2))+0.0722*HEX2DEC(MID(G25,6,2)))/255+0.05)&gt;=4.5,"Yes","CHECK — may need dark text"))</f>
        <v/>
      </c>
      <c r="I25" s="4" t="str">
        <f aca="false">IF(G25="","",IF(((0.2126*HEX2DEC(MID(G25,2,2))+0.7152*HEX2DEC(MID(G25,4,2))+0.0722*HEX2DEC(MID(G25,6,2)))/255+0.05)/((0.2126*11+0.7152*27+0.0722*52)/255+0.05)&gt;=3,"Yes","CHECK — may need a brighter shade"))</f>
        <v/>
      </c>
      <c r="J25" s="3"/>
      <c r="K25" s="3"/>
      <c r="L25" s="3"/>
      <c r="M25" s="3" t="s">
        <v>15</v>
      </c>
    </row>
    <row r="26" customFormat="false" ht="15" hidden="false" customHeight="false" outlineLevel="0" collapsed="false">
      <c r="A26" s="4" t="s">
        <v>68</v>
      </c>
      <c r="B26" s="4" t="s">
        <v>69</v>
      </c>
      <c r="C26" s="3"/>
      <c r="D26" s="3"/>
      <c r="E26" s="3"/>
      <c r="F26" s="3"/>
      <c r="G26" s="4" t="str">
        <f aca="false">IF(C26="","",IF(D26="Darker","#"&amp;DEC2HEX(ROUND(HEX2DEC(MID(INDEX(Palette!$B$2:$B$19,MATCH(C26,Palette!$A$2:$A$19,0)),2,2))*0.75,0),2)&amp;DEC2HEX(ROUND(HEX2DEC(MID(INDEX(Palette!$B$2:$B$19,MATCH(C26,Palette!$A$2:$A$19,0)),4,2))*0.75,0),2)&amp;DEC2HEX(ROUND(HEX2DEC(MID(INDEX(Palette!$B$2:$B$19,MATCH(C26,Palette!$A$2:$A$19,0)),6,2))*0.75,0),2),IF(D26="Lighter","#"&amp;DEC2HEX(ROUND(HEX2DEC(MID(INDEX(Palette!$B$2:$B$19,MATCH(C26,Palette!$A$2:$A$19,0)),2,2))+(255-HEX2DEC(MID(INDEX(Palette!$B$2:$B$19,MATCH(C26,Palette!$A$2:$A$19,0)),2,2)))*0.25,0),2)&amp;DEC2HEX(ROUND(HEX2DEC(MID(INDEX(Palette!$B$2:$B$19,MATCH(C26,Palette!$A$2:$A$19,0)),4,2))+(255-HEX2DEC(MID(INDEX(Palette!$B$2:$B$19,MATCH(C26,Palette!$A$2:$A$19,0)),4,2)))*0.25,0),2)&amp;DEC2HEX(ROUND(HEX2DEC(MID(INDEX(Palette!$B$2:$B$19,MATCH(C26,Palette!$A$2:$A$19,0)),6,2))+(255-HEX2DEC(MID(INDEX(Palette!$B$2:$B$19,MATCH(C26,Palette!$A$2:$A$19,0)),6,2)))*0.25,0),2),INDEX(Palette!$B$2:$B$19,MATCH(C26,Palette!$A$2:$A$19,0)))))</f>
        <v/>
      </c>
      <c r="H26" s="4" t="str">
        <f aca="false">IF(G26="","",IF((1.05)/((0.2126*HEX2DEC(MID(G26,2,2))+0.7152*HEX2DEC(MID(G26,4,2))+0.0722*HEX2DEC(MID(G26,6,2)))/255+0.05)&gt;=4.5,"Yes","CHECK — may need dark text"))</f>
        <v/>
      </c>
      <c r="I26" s="4" t="str">
        <f aca="false">IF(G26="","",IF(((0.2126*HEX2DEC(MID(G26,2,2))+0.7152*HEX2DEC(MID(G26,4,2))+0.0722*HEX2DEC(MID(G26,6,2)))/255+0.05)/((0.2126*11+0.7152*27+0.0722*52)/255+0.05)&gt;=3,"Yes","CHECK — may need a brighter shade"))</f>
        <v/>
      </c>
      <c r="J26" s="3"/>
      <c r="K26" s="3"/>
      <c r="L26" s="3"/>
      <c r="M26" s="3" t="s">
        <v>15</v>
      </c>
    </row>
    <row r="27" customFormat="false" ht="15" hidden="false" customHeight="false" outlineLevel="0" collapsed="false">
      <c r="A27" s="4" t="s">
        <v>70</v>
      </c>
      <c r="B27" s="4" t="s">
        <v>71</v>
      </c>
      <c r="C27" s="3"/>
      <c r="D27" s="3"/>
      <c r="E27" s="3"/>
      <c r="F27" s="3"/>
      <c r="G27" s="4" t="str">
        <f aca="false">IF(C27="","",IF(D27="Darker","#"&amp;DEC2HEX(ROUND(HEX2DEC(MID(INDEX(Palette!$B$2:$B$19,MATCH(C27,Palette!$A$2:$A$19,0)),2,2))*0.75,0),2)&amp;DEC2HEX(ROUND(HEX2DEC(MID(INDEX(Palette!$B$2:$B$19,MATCH(C27,Palette!$A$2:$A$19,0)),4,2))*0.75,0),2)&amp;DEC2HEX(ROUND(HEX2DEC(MID(INDEX(Palette!$B$2:$B$19,MATCH(C27,Palette!$A$2:$A$19,0)),6,2))*0.75,0),2),IF(D27="Lighter","#"&amp;DEC2HEX(ROUND(HEX2DEC(MID(INDEX(Palette!$B$2:$B$19,MATCH(C27,Palette!$A$2:$A$19,0)),2,2))+(255-HEX2DEC(MID(INDEX(Palette!$B$2:$B$19,MATCH(C27,Palette!$A$2:$A$19,0)),2,2)))*0.25,0),2)&amp;DEC2HEX(ROUND(HEX2DEC(MID(INDEX(Palette!$B$2:$B$19,MATCH(C27,Palette!$A$2:$A$19,0)),4,2))+(255-HEX2DEC(MID(INDEX(Palette!$B$2:$B$19,MATCH(C27,Palette!$A$2:$A$19,0)),4,2)))*0.25,0),2)&amp;DEC2HEX(ROUND(HEX2DEC(MID(INDEX(Palette!$B$2:$B$19,MATCH(C27,Palette!$A$2:$A$19,0)),6,2))+(255-HEX2DEC(MID(INDEX(Palette!$B$2:$B$19,MATCH(C27,Palette!$A$2:$A$19,0)),6,2)))*0.25,0),2),INDEX(Palette!$B$2:$B$19,MATCH(C27,Palette!$A$2:$A$19,0)))))</f>
        <v/>
      </c>
      <c r="H27" s="4" t="str">
        <f aca="false">IF(G27="","",IF((1.05)/((0.2126*HEX2DEC(MID(G27,2,2))+0.7152*HEX2DEC(MID(G27,4,2))+0.0722*HEX2DEC(MID(G27,6,2)))/255+0.05)&gt;=4.5,"Yes","CHECK — may need dark text"))</f>
        <v/>
      </c>
      <c r="I27" s="4" t="str">
        <f aca="false">IF(G27="","",IF(((0.2126*HEX2DEC(MID(G27,2,2))+0.7152*HEX2DEC(MID(G27,4,2))+0.0722*HEX2DEC(MID(G27,6,2)))/255+0.05)/((0.2126*11+0.7152*27+0.0722*52)/255+0.05)&gt;=3,"Yes","CHECK — may need a brighter shade"))</f>
        <v/>
      </c>
      <c r="J27" s="3"/>
      <c r="K27" s="3"/>
      <c r="L27" s="3"/>
      <c r="M27" s="3" t="s">
        <v>15</v>
      </c>
    </row>
    <row r="28" customFormat="false" ht="15" hidden="false" customHeight="false" outlineLevel="0" collapsed="false">
      <c r="A28" s="4" t="s">
        <v>72</v>
      </c>
      <c r="B28" s="4" t="s">
        <v>73</v>
      </c>
      <c r="C28" s="3"/>
      <c r="D28" s="3"/>
      <c r="E28" s="3"/>
      <c r="F28" s="3"/>
      <c r="G28" s="4" t="str">
        <f aca="false">IF(C28="","",IF(D28="Darker","#"&amp;DEC2HEX(ROUND(HEX2DEC(MID(INDEX(Palette!$B$2:$B$19,MATCH(C28,Palette!$A$2:$A$19,0)),2,2))*0.75,0),2)&amp;DEC2HEX(ROUND(HEX2DEC(MID(INDEX(Palette!$B$2:$B$19,MATCH(C28,Palette!$A$2:$A$19,0)),4,2))*0.75,0),2)&amp;DEC2HEX(ROUND(HEX2DEC(MID(INDEX(Palette!$B$2:$B$19,MATCH(C28,Palette!$A$2:$A$19,0)),6,2))*0.75,0),2),IF(D28="Lighter","#"&amp;DEC2HEX(ROUND(HEX2DEC(MID(INDEX(Palette!$B$2:$B$19,MATCH(C28,Palette!$A$2:$A$19,0)),2,2))+(255-HEX2DEC(MID(INDEX(Palette!$B$2:$B$19,MATCH(C28,Palette!$A$2:$A$19,0)),2,2)))*0.25,0),2)&amp;DEC2HEX(ROUND(HEX2DEC(MID(INDEX(Palette!$B$2:$B$19,MATCH(C28,Palette!$A$2:$A$19,0)),4,2))+(255-HEX2DEC(MID(INDEX(Palette!$B$2:$B$19,MATCH(C28,Palette!$A$2:$A$19,0)),4,2)))*0.25,0),2)&amp;DEC2HEX(ROUND(HEX2DEC(MID(INDEX(Palette!$B$2:$B$19,MATCH(C28,Palette!$A$2:$A$19,0)),6,2))+(255-HEX2DEC(MID(INDEX(Palette!$B$2:$B$19,MATCH(C28,Palette!$A$2:$A$19,0)),6,2)))*0.25,0),2),INDEX(Palette!$B$2:$B$19,MATCH(C28,Palette!$A$2:$A$19,0)))))</f>
        <v/>
      </c>
      <c r="H28" s="4" t="str">
        <f aca="false">IF(G28="","",IF((1.05)/((0.2126*HEX2DEC(MID(G28,2,2))+0.7152*HEX2DEC(MID(G28,4,2))+0.0722*HEX2DEC(MID(G28,6,2)))/255+0.05)&gt;=4.5,"Yes","CHECK — may need dark text"))</f>
        <v/>
      </c>
      <c r="I28" s="4" t="str">
        <f aca="false">IF(G28="","",IF(((0.2126*HEX2DEC(MID(G28,2,2))+0.7152*HEX2DEC(MID(G28,4,2))+0.0722*HEX2DEC(MID(G28,6,2)))/255+0.05)/((0.2126*11+0.7152*27+0.0722*52)/255+0.05)&gt;=3,"Yes","CHECK — may need a brighter shade"))</f>
        <v/>
      </c>
      <c r="J28" s="3"/>
      <c r="K28" s="3"/>
      <c r="L28" s="3"/>
      <c r="M28" s="3" t="s">
        <v>15</v>
      </c>
    </row>
    <row r="29" customFormat="false" ht="15" hidden="false" customHeight="false" outlineLevel="0" collapsed="false">
      <c r="A29" s="4" t="s">
        <v>74</v>
      </c>
      <c r="B29" s="4" t="s">
        <v>75</v>
      </c>
      <c r="C29" s="3"/>
      <c r="D29" s="3"/>
      <c r="E29" s="3"/>
      <c r="F29" s="3"/>
      <c r="G29" s="4" t="str">
        <f aca="false">IF(C29="","",IF(D29="Darker","#"&amp;DEC2HEX(ROUND(HEX2DEC(MID(INDEX(Palette!$B$2:$B$19,MATCH(C29,Palette!$A$2:$A$19,0)),2,2))*0.75,0),2)&amp;DEC2HEX(ROUND(HEX2DEC(MID(INDEX(Palette!$B$2:$B$19,MATCH(C29,Palette!$A$2:$A$19,0)),4,2))*0.75,0),2)&amp;DEC2HEX(ROUND(HEX2DEC(MID(INDEX(Palette!$B$2:$B$19,MATCH(C29,Palette!$A$2:$A$19,0)),6,2))*0.75,0),2),IF(D29="Lighter","#"&amp;DEC2HEX(ROUND(HEX2DEC(MID(INDEX(Palette!$B$2:$B$19,MATCH(C29,Palette!$A$2:$A$19,0)),2,2))+(255-HEX2DEC(MID(INDEX(Palette!$B$2:$B$19,MATCH(C29,Palette!$A$2:$A$19,0)),2,2)))*0.25,0),2)&amp;DEC2HEX(ROUND(HEX2DEC(MID(INDEX(Palette!$B$2:$B$19,MATCH(C29,Palette!$A$2:$A$19,0)),4,2))+(255-HEX2DEC(MID(INDEX(Palette!$B$2:$B$19,MATCH(C29,Palette!$A$2:$A$19,0)),4,2)))*0.25,0),2)&amp;DEC2HEX(ROUND(HEX2DEC(MID(INDEX(Palette!$B$2:$B$19,MATCH(C29,Palette!$A$2:$A$19,0)),6,2))+(255-HEX2DEC(MID(INDEX(Palette!$B$2:$B$19,MATCH(C29,Palette!$A$2:$A$19,0)),6,2)))*0.25,0),2),INDEX(Palette!$B$2:$B$19,MATCH(C29,Palette!$A$2:$A$19,0)))))</f>
        <v/>
      </c>
      <c r="H29" s="4" t="str">
        <f aca="false">IF(G29="","",IF((1.05)/((0.2126*HEX2DEC(MID(G29,2,2))+0.7152*HEX2DEC(MID(G29,4,2))+0.0722*HEX2DEC(MID(G29,6,2)))/255+0.05)&gt;=4.5,"Yes","CHECK — may need dark text"))</f>
        <v/>
      </c>
      <c r="I29" s="4" t="str">
        <f aca="false">IF(G29="","",IF(((0.2126*HEX2DEC(MID(G29,2,2))+0.7152*HEX2DEC(MID(G29,4,2))+0.0722*HEX2DEC(MID(G29,6,2)))/255+0.05)/((0.2126*11+0.7152*27+0.0722*52)/255+0.05)&gt;=3,"Yes","CHECK — may need a brighter shade"))</f>
        <v/>
      </c>
      <c r="J29" s="3"/>
      <c r="K29" s="3"/>
      <c r="L29" s="3"/>
      <c r="M29" s="3" t="s">
        <v>15</v>
      </c>
    </row>
    <row r="30" customFormat="false" ht="15" hidden="false" customHeight="false" outlineLevel="0" collapsed="false">
      <c r="A30" s="4" t="s">
        <v>76</v>
      </c>
      <c r="B30" s="4" t="s">
        <v>77</v>
      </c>
      <c r="C30" s="3"/>
      <c r="D30" s="3"/>
      <c r="E30" s="3"/>
      <c r="F30" s="3"/>
      <c r="G30" s="4" t="str">
        <f aca="false">IF(C30="","",IF(D30="Darker","#"&amp;DEC2HEX(ROUND(HEX2DEC(MID(INDEX(Palette!$B$2:$B$19,MATCH(C30,Palette!$A$2:$A$19,0)),2,2))*0.75,0),2)&amp;DEC2HEX(ROUND(HEX2DEC(MID(INDEX(Palette!$B$2:$B$19,MATCH(C30,Palette!$A$2:$A$19,0)),4,2))*0.75,0),2)&amp;DEC2HEX(ROUND(HEX2DEC(MID(INDEX(Palette!$B$2:$B$19,MATCH(C30,Palette!$A$2:$A$19,0)),6,2))*0.75,0),2),IF(D30="Lighter","#"&amp;DEC2HEX(ROUND(HEX2DEC(MID(INDEX(Palette!$B$2:$B$19,MATCH(C30,Palette!$A$2:$A$19,0)),2,2))+(255-HEX2DEC(MID(INDEX(Palette!$B$2:$B$19,MATCH(C30,Palette!$A$2:$A$19,0)),2,2)))*0.25,0),2)&amp;DEC2HEX(ROUND(HEX2DEC(MID(INDEX(Palette!$B$2:$B$19,MATCH(C30,Palette!$A$2:$A$19,0)),4,2))+(255-HEX2DEC(MID(INDEX(Palette!$B$2:$B$19,MATCH(C30,Palette!$A$2:$A$19,0)),4,2)))*0.25,0),2)&amp;DEC2HEX(ROUND(HEX2DEC(MID(INDEX(Palette!$B$2:$B$19,MATCH(C30,Palette!$A$2:$A$19,0)),6,2))+(255-HEX2DEC(MID(INDEX(Palette!$B$2:$B$19,MATCH(C30,Palette!$A$2:$A$19,0)),6,2)))*0.25,0),2),INDEX(Palette!$B$2:$B$19,MATCH(C30,Palette!$A$2:$A$19,0)))))</f>
        <v/>
      </c>
      <c r="H30" s="4" t="str">
        <f aca="false">IF(G30="","",IF((1.05)/((0.2126*HEX2DEC(MID(G30,2,2))+0.7152*HEX2DEC(MID(G30,4,2))+0.0722*HEX2DEC(MID(G30,6,2)))/255+0.05)&gt;=4.5,"Yes","CHECK — may need dark text"))</f>
        <v/>
      </c>
      <c r="I30" s="4" t="str">
        <f aca="false">IF(G30="","",IF(((0.2126*HEX2DEC(MID(G30,2,2))+0.7152*HEX2DEC(MID(G30,4,2))+0.0722*HEX2DEC(MID(G30,6,2)))/255+0.05)/((0.2126*11+0.7152*27+0.0722*52)/255+0.05)&gt;=3,"Yes","CHECK — may need a brighter shade"))</f>
        <v/>
      </c>
      <c r="J30" s="3"/>
      <c r="K30" s="3"/>
      <c r="L30" s="3"/>
      <c r="M30" s="3" t="s">
        <v>15</v>
      </c>
    </row>
    <row r="31" customFormat="false" ht="15" hidden="false" customHeight="false" outlineLevel="0" collapsed="false">
      <c r="A31" s="4" t="s">
        <v>78</v>
      </c>
      <c r="B31" s="4" t="s">
        <v>79</v>
      </c>
      <c r="C31" s="3"/>
      <c r="D31" s="3"/>
      <c r="E31" s="3"/>
      <c r="F31" s="3"/>
      <c r="G31" s="4" t="str">
        <f aca="false">IF(C31="","",IF(D31="Darker","#"&amp;DEC2HEX(ROUND(HEX2DEC(MID(INDEX(Palette!$B$2:$B$19,MATCH(C31,Palette!$A$2:$A$19,0)),2,2))*0.75,0),2)&amp;DEC2HEX(ROUND(HEX2DEC(MID(INDEX(Palette!$B$2:$B$19,MATCH(C31,Palette!$A$2:$A$19,0)),4,2))*0.75,0),2)&amp;DEC2HEX(ROUND(HEX2DEC(MID(INDEX(Palette!$B$2:$B$19,MATCH(C31,Palette!$A$2:$A$19,0)),6,2))*0.75,0),2),IF(D31="Lighter","#"&amp;DEC2HEX(ROUND(HEX2DEC(MID(INDEX(Palette!$B$2:$B$19,MATCH(C31,Palette!$A$2:$A$19,0)),2,2))+(255-HEX2DEC(MID(INDEX(Palette!$B$2:$B$19,MATCH(C31,Palette!$A$2:$A$19,0)),2,2)))*0.25,0),2)&amp;DEC2HEX(ROUND(HEX2DEC(MID(INDEX(Palette!$B$2:$B$19,MATCH(C31,Palette!$A$2:$A$19,0)),4,2))+(255-HEX2DEC(MID(INDEX(Palette!$B$2:$B$19,MATCH(C31,Palette!$A$2:$A$19,0)),4,2)))*0.25,0),2)&amp;DEC2HEX(ROUND(HEX2DEC(MID(INDEX(Palette!$B$2:$B$19,MATCH(C31,Palette!$A$2:$A$19,0)),6,2))+(255-HEX2DEC(MID(INDEX(Palette!$B$2:$B$19,MATCH(C31,Palette!$A$2:$A$19,0)),6,2)))*0.25,0),2),INDEX(Palette!$B$2:$B$19,MATCH(C31,Palette!$A$2:$A$19,0)))))</f>
        <v/>
      </c>
      <c r="H31" s="4" t="str">
        <f aca="false">IF(G31="","",IF((1.05)/((0.2126*HEX2DEC(MID(G31,2,2))+0.7152*HEX2DEC(MID(G31,4,2))+0.0722*HEX2DEC(MID(G31,6,2)))/255+0.05)&gt;=4.5,"Yes","CHECK — may need dark text"))</f>
        <v/>
      </c>
      <c r="I31" s="4" t="str">
        <f aca="false">IF(G31="","",IF(((0.2126*HEX2DEC(MID(G31,2,2))+0.7152*HEX2DEC(MID(G31,4,2))+0.0722*HEX2DEC(MID(G31,6,2)))/255+0.05)/((0.2126*11+0.7152*27+0.0722*52)/255+0.05)&gt;=3,"Yes","CHECK — may need a brighter shade"))</f>
        <v/>
      </c>
      <c r="J31" s="3"/>
      <c r="K31" s="3"/>
      <c r="L31" s="3"/>
      <c r="M31" s="3" t="s">
        <v>15</v>
      </c>
    </row>
  </sheetData>
  <dataValidations count="3">
    <dataValidation allowBlank="true" errorStyle="stop" operator="between" showDropDown="false" showErrorMessage="false" showInputMessage="false" sqref="C2:C31 E2:E31" type="list">
      <formula1>"Navy,Royal blue,Sky blue,Light blue,Red,Dark red,Maroon,Orange,Tangerine,Yellow,Gold,Green,Dark green,White,Black,Grey,Claret,Crimson"</formula1>
      <formula2>0</formula2>
    </dataValidation>
    <dataValidation allowBlank="true" errorStyle="stop" operator="between" showDropDown="false" showErrorMessage="false" showInputMessage="false" sqref="D2:D31" type="list">
      <formula1>"Standard,Darker,Lighter"</formula1>
      <formula2>0</formula2>
    </dataValidation>
    <dataValidation allowBlank="true" errorStyle="stop" operator="between" showDropDown="false" showErrorMessage="false" showInputMessage="false" sqref="M2:M31" type="list">
      <formula1>"unverified,checked by Nicky,applied"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5" t="s">
        <v>80</v>
      </c>
      <c r="B1" s="5" t="s">
        <v>81</v>
      </c>
    </row>
    <row r="2" customFormat="false" ht="15" hidden="false" customHeight="false" outlineLevel="0" collapsed="false">
      <c r="A2" s="6" t="s">
        <v>20</v>
      </c>
      <c r="B2" s="6" t="s">
        <v>82</v>
      </c>
    </row>
    <row r="3" customFormat="false" ht="15" hidden="false" customHeight="false" outlineLevel="0" collapsed="false">
      <c r="A3" s="6" t="s">
        <v>83</v>
      </c>
      <c r="B3" s="6" t="s">
        <v>84</v>
      </c>
    </row>
    <row r="4" customFormat="false" ht="15" hidden="false" customHeight="false" outlineLevel="0" collapsed="false">
      <c r="A4" s="6" t="s">
        <v>85</v>
      </c>
      <c r="B4" s="6" t="s">
        <v>86</v>
      </c>
    </row>
    <row r="5" customFormat="false" ht="15" hidden="false" customHeight="false" outlineLevel="0" collapsed="false">
      <c r="A5" s="6" t="s">
        <v>87</v>
      </c>
      <c r="B5" s="6" t="s">
        <v>88</v>
      </c>
    </row>
    <row r="6" customFormat="false" ht="15" hidden="false" customHeight="false" outlineLevel="0" collapsed="false">
      <c r="A6" s="6" t="s">
        <v>89</v>
      </c>
      <c r="B6" s="6" t="s">
        <v>90</v>
      </c>
    </row>
    <row r="7" customFormat="false" ht="15" hidden="false" customHeight="false" outlineLevel="0" collapsed="false">
      <c r="A7" s="6" t="s">
        <v>91</v>
      </c>
      <c r="B7" s="6" t="s">
        <v>92</v>
      </c>
    </row>
    <row r="8" customFormat="false" ht="15" hidden="false" customHeight="false" outlineLevel="0" collapsed="false">
      <c r="A8" s="6" t="s">
        <v>93</v>
      </c>
      <c r="B8" s="6" t="s">
        <v>94</v>
      </c>
    </row>
    <row r="9" customFormat="false" ht="15" hidden="false" customHeight="false" outlineLevel="0" collapsed="false">
      <c r="A9" s="6" t="s">
        <v>95</v>
      </c>
      <c r="B9" s="6" t="s">
        <v>96</v>
      </c>
    </row>
    <row r="10" customFormat="false" ht="15" hidden="false" customHeight="false" outlineLevel="0" collapsed="false">
      <c r="A10" s="6" t="s">
        <v>97</v>
      </c>
      <c r="B10" s="6" t="s">
        <v>98</v>
      </c>
    </row>
    <row r="11" customFormat="false" ht="15" hidden="false" customHeight="false" outlineLevel="0" collapsed="false">
      <c r="A11" s="6" t="s">
        <v>99</v>
      </c>
      <c r="B11" s="6" t="s">
        <v>100</v>
      </c>
    </row>
    <row r="12" customFormat="false" ht="15" hidden="false" customHeight="false" outlineLevel="0" collapsed="false">
      <c r="A12" s="6" t="s">
        <v>101</v>
      </c>
      <c r="B12" s="6" t="s">
        <v>102</v>
      </c>
    </row>
    <row r="13" customFormat="false" ht="15" hidden="false" customHeight="false" outlineLevel="0" collapsed="false">
      <c r="A13" s="6" t="s">
        <v>103</v>
      </c>
      <c r="B13" s="6" t="s">
        <v>104</v>
      </c>
    </row>
    <row r="14" customFormat="false" ht="15" hidden="false" customHeight="false" outlineLevel="0" collapsed="false">
      <c r="A14" s="6" t="s">
        <v>105</v>
      </c>
      <c r="B14" s="6" t="s">
        <v>106</v>
      </c>
    </row>
    <row r="15" customFormat="false" ht="15" hidden="false" customHeight="false" outlineLevel="0" collapsed="false">
      <c r="A15" s="6" t="s">
        <v>22</v>
      </c>
      <c r="B15" s="6" t="s">
        <v>107</v>
      </c>
    </row>
    <row r="16" customFormat="false" ht="15" hidden="false" customHeight="false" outlineLevel="0" collapsed="false">
      <c r="A16" s="6" t="s">
        <v>108</v>
      </c>
      <c r="B16" s="6" t="s">
        <v>109</v>
      </c>
    </row>
    <row r="17" customFormat="false" ht="15" hidden="false" customHeight="false" outlineLevel="0" collapsed="false">
      <c r="A17" s="6" t="s">
        <v>110</v>
      </c>
      <c r="B17" s="6" t="s">
        <v>111</v>
      </c>
    </row>
    <row r="18" customFormat="false" ht="15" hidden="false" customHeight="false" outlineLevel="0" collapsed="false">
      <c r="A18" s="6" t="s">
        <v>112</v>
      </c>
      <c r="B18" s="6" t="s">
        <v>94</v>
      </c>
    </row>
    <row r="19" customFormat="false" ht="15" hidden="false" customHeight="false" outlineLevel="0" collapsed="false">
      <c r="A19" s="6" t="s">
        <v>113</v>
      </c>
      <c r="B19" s="6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5" hidden="false" customHeight="false" outlineLevel="0" collapsed="false">
      <c r="A1" s="7" t="s">
        <v>115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7" t="s">
        <v>116</v>
      </c>
    </row>
    <row r="4" customFormat="false" ht="15" hidden="false" customHeight="false" outlineLevel="0" collapsed="false">
      <c r="A4" s="8" t="s">
        <v>117</v>
      </c>
    </row>
    <row r="5" customFormat="false" ht="15" hidden="false" customHeight="false" outlineLevel="0" collapsed="false">
      <c r="A5" s="8" t="s">
        <v>118</v>
      </c>
    </row>
    <row r="6" customFormat="false" ht="15" hidden="false" customHeight="false" outlineLevel="0" collapsed="false">
      <c r="A6" s="8" t="s">
        <v>119</v>
      </c>
    </row>
    <row r="7" customFormat="false" ht="23.85" hidden="false" customHeight="false" outlineLevel="0" collapsed="false">
      <c r="A7" s="8" t="s">
        <v>120</v>
      </c>
    </row>
    <row r="8" customFormat="false" ht="23.85" hidden="false" customHeight="false" outlineLevel="0" collapsed="false">
      <c r="A8" s="8" t="s">
        <v>121</v>
      </c>
    </row>
    <row r="9" customFormat="false" ht="15" hidden="false" customHeight="false" outlineLevel="0" collapsed="false">
      <c r="A9" s="8" t="s">
        <v>122</v>
      </c>
    </row>
    <row r="10" customFormat="false" ht="15" hidden="false" customHeight="false" outlineLevel="0" collapsed="false">
      <c r="A10" s="8" t="s">
        <v>123</v>
      </c>
    </row>
    <row r="11" customFormat="false" ht="15" hidden="false" customHeight="false" outlineLevel="0" collapsed="false">
      <c r="A11" s="8"/>
    </row>
    <row r="12" customFormat="false" ht="23.85" hidden="false" customHeight="false" outlineLevel="0" collapsed="false">
      <c r="A12" s="8" t="s">
        <v>124</v>
      </c>
    </row>
    <row r="13" customFormat="false" ht="15" hidden="false" customHeight="false" outlineLevel="0" collapsed="false">
      <c r="A13" s="8"/>
    </row>
    <row r="14" customFormat="false" ht="35.05" hidden="false" customHeight="false" outlineLevel="0" collapsed="false">
      <c r="A14" s="8" t="s">
        <v>125</v>
      </c>
    </row>
    <row r="15" customFormat="false" ht="15" hidden="false" customHeight="false" outlineLevel="0" collapsed="false">
      <c r="A15" s="8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2026-07-10T13:12:14Z</dcterms:created>
  <dc:creator>openpyxl</dc:creator>
  <dc:description/>
  <dc:language>en-US</dc:language>
  <cp:lastModifiedBy/>
  <dcterms:modified xsi:type="dcterms:W3CDTF">2026-07-10T13:12:14Z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